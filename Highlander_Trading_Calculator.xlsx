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graemebuchanan/Documents/Claude/Projects/Trading/Backtest/"/>
    </mc:Choice>
  </mc:AlternateContent>
  <xr:revisionPtr revIDLastSave="0" documentId="13_ncr:1_{E03C5ED1-4AE0-FB4F-92FF-6A4075B5191C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Calculator" sheetId="1" r:id="rId1"/>
    <sheet name="Journal" sheetId="2" r:id="rId2"/>
    <sheet name="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2" l="1"/>
  <c r="B108" i="2"/>
  <c r="B107" i="2"/>
  <c r="B106" i="2"/>
  <c r="Q102" i="2"/>
  <c r="P102" i="2"/>
  <c r="S102" i="2" s="1"/>
  <c r="M102" i="2"/>
  <c r="L102" i="2"/>
  <c r="K102" i="2"/>
  <c r="T101" i="2"/>
  <c r="S101" i="2"/>
  <c r="Q101" i="2"/>
  <c r="P101" i="2"/>
  <c r="M101" i="2"/>
  <c r="L101" i="2"/>
  <c r="K101" i="2"/>
  <c r="P100" i="2"/>
  <c r="Q100" i="2" s="1"/>
  <c r="M100" i="2"/>
  <c r="L100" i="2"/>
  <c r="K100" i="2"/>
  <c r="S99" i="2"/>
  <c r="P99" i="2"/>
  <c r="T99" i="2" s="1"/>
  <c r="M99" i="2"/>
  <c r="L99" i="2"/>
  <c r="K99" i="2"/>
  <c r="T98" i="2"/>
  <c r="S98" i="2"/>
  <c r="P98" i="2"/>
  <c r="Q98" i="2" s="1"/>
  <c r="M98" i="2"/>
  <c r="L98" i="2"/>
  <c r="K98" i="2"/>
  <c r="P97" i="2"/>
  <c r="S97" i="2" s="1"/>
  <c r="M97" i="2"/>
  <c r="L97" i="2"/>
  <c r="K97" i="2"/>
  <c r="T96" i="2"/>
  <c r="P96" i="2"/>
  <c r="S96" i="2" s="1"/>
  <c r="M96" i="2"/>
  <c r="L96" i="2"/>
  <c r="K96" i="2"/>
  <c r="T95" i="2"/>
  <c r="P95" i="2"/>
  <c r="Q95" i="2" s="1"/>
  <c r="M95" i="2"/>
  <c r="L95" i="2"/>
  <c r="K95" i="2"/>
  <c r="P94" i="2"/>
  <c r="T94" i="2" s="1"/>
  <c r="M94" i="2"/>
  <c r="L94" i="2"/>
  <c r="K94" i="2"/>
  <c r="P93" i="2"/>
  <c r="T93" i="2" s="1"/>
  <c r="M93" i="2"/>
  <c r="L93" i="2"/>
  <c r="K93" i="2"/>
  <c r="S92" i="2"/>
  <c r="Q92" i="2"/>
  <c r="P92" i="2"/>
  <c r="T92" i="2" s="1"/>
  <c r="M92" i="2"/>
  <c r="L92" i="2"/>
  <c r="K92" i="2"/>
  <c r="T91" i="2"/>
  <c r="S91" i="2"/>
  <c r="Q91" i="2"/>
  <c r="P91" i="2"/>
  <c r="M91" i="2"/>
  <c r="L91" i="2"/>
  <c r="K91" i="2"/>
  <c r="P90" i="2"/>
  <c r="T90" i="2" s="1"/>
  <c r="M90" i="2"/>
  <c r="L90" i="2"/>
  <c r="K90" i="2"/>
  <c r="S89" i="2"/>
  <c r="P89" i="2"/>
  <c r="T89" i="2" s="1"/>
  <c r="M89" i="2"/>
  <c r="L89" i="2"/>
  <c r="K89" i="2"/>
  <c r="T88" i="2"/>
  <c r="S88" i="2"/>
  <c r="P88" i="2"/>
  <c r="Q88" i="2" s="1"/>
  <c r="M88" i="2"/>
  <c r="L88" i="2"/>
  <c r="K88" i="2"/>
  <c r="P87" i="2"/>
  <c r="Q87" i="2" s="1"/>
  <c r="M87" i="2"/>
  <c r="L87" i="2"/>
  <c r="K87" i="2"/>
  <c r="T86" i="2"/>
  <c r="P86" i="2"/>
  <c r="S86" i="2" s="1"/>
  <c r="M86" i="2"/>
  <c r="L86" i="2"/>
  <c r="K86" i="2"/>
  <c r="T85" i="2"/>
  <c r="P85" i="2"/>
  <c r="Q85" i="2" s="1"/>
  <c r="M85" i="2"/>
  <c r="L85" i="2"/>
  <c r="K85" i="2"/>
  <c r="P84" i="2"/>
  <c r="S84" i="2" s="1"/>
  <c r="M84" i="2"/>
  <c r="L84" i="2"/>
  <c r="K84" i="2"/>
  <c r="P83" i="2"/>
  <c r="T83" i="2" s="1"/>
  <c r="M83" i="2"/>
  <c r="L83" i="2"/>
  <c r="K83" i="2"/>
  <c r="S82" i="2"/>
  <c r="Q82" i="2"/>
  <c r="P82" i="2"/>
  <c r="T82" i="2" s="1"/>
  <c r="M82" i="2"/>
  <c r="L82" i="2"/>
  <c r="K82" i="2"/>
  <c r="T81" i="2"/>
  <c r="S81" i="2"/>
  <c r="Q81" i="2"/>
  <c r="P81" i="2"/>
  <c r="M81" i="2"/>
  <c r="L81" i="2"/>
  <c r="K81" i="2"/>
  <c r="P80" i="2"/>
  <c r="T80" i="2" s="1"/>
  <c r="M80" i="2"/>
  <c r="L80" i="2"/>
  <c r="K80" i="2"/>
  <c r="T79" i="2"/>
  <c r="S79" i="2"/>
  <c r="P79" i="2"/>
  <c r="Q79" i="2" s="1"/>
  <c r="M79" i="2"/>
  <c r="L79" i="2"/>
  <c r="K79" i="2"/>
  <c r="T78" i="2"/>
  <c r="S78" i="2"/>
  <c r="P78" i="2"/>
  <c r="Q78" i="2" s="1"/>
  <c r="M78" i="2"/>
  <c r="L78" i="2"/>
  <c r="K78" i="2"/>
  <c r="P77" i="2"/>
  <c r="S77" i="2" s="1"/>
  <c r="M77" i="2"/>
  <c r="L77" i="2"/>
  <c r="K77" i="2"/>
  <c r="T76" i="2"/>
  <c r="P76" i="2"/>
  <c r="S76" i="2" s="1"/>
  <c r="M76" i="2"/>
  <c r="L76" i="2"/>
  <c r="K76" i="2"/>
  <c r="T75" i="2"/>
  <c r="P75" i="2"/>
  <c r="Q75" i="2" s="1"/>
  <c r="M75" i="2"/>
  <c r="L75" i="2"/>
  <c r="K75" i="2"/>
  <c r="P74" i="2"/>
  <c r="Q74" i="2" s="1"/>
  <c r="M74" i="2"/>
  <c r="L74" i="2"/>
  <c r="K74" i="2"/>
  <c r="P73" i="2"/>
  <c r="T73" i="2" s="1"/>
  <c r="M73" i="2"/>
  <c r="L73" i="2"/>
  <c r="K73" i="2"/>
  <c r="S72" i="2"/>
  <c r="Q72" i="2"/>
  <c r="P72" i="2"/>
  <c r="T72" i="2" s="1"/>
  <c r="M72" i="2"/>
  <c r="L72" i="2"/>
  <c r="K72" i="2"/>
  <c r="T71" i="2"/>
  <c r="S71" i="2"/>
  <c r="Q71" i="2"/>
  <c r="P71" i="2"/>
  <c r="M71" i="2"/>
  <c r="L71" i="2"/>
  <c r="K71" i="2"/>
  <c r="P70" i="2"/>
  <c r="T70" i="2" s="1"/>
  <c r="M70" i="2"/>
  <c r="L70" i="2"/>
  <c r="K70" i="2"/>
  <c r="T69" i="2"/>
  <c r="S69" i="2"/>
  <c r="P69" i="2"/>
  <c r="Q69" i="2" s="1"/>
  <c r="M69" i="2"/>
  <c r="L69" i="2"/>
  <c r="K69" i="2"/>
  <c r="T68" i="2"/>
  <c r="S68" i="2"/>
  <c r="P68" i="2"/>
  <c r="Q68" i="2" s="1"/>
  <c r="M68" i="2"/>
  <c r="L68" i="2"/>
  <c r="K68" i="2"/>
  <c r="P67" i="2"/>
  <c r="Q67" i="2" s="1"/>
  <c r="M67" i="2"/>
  <c r="L67" i="2"/>
  <c r="K67" i="2"/>
  <c r="T66" i="2"/>
  <c r="Q66" i="2"/>
  <c r="P66" i="2"/>
  <c r="S66" i="2" s="1"/>
  <c r="M66" i="2"/>
  <c r="L66" i="2"/>
  <c r="K66" i="2"/>
  <c r="T65" i="2"/>
  <c r="P65" i="2"/>
  <c r="Q65" i="2" s="1"/>
  <c r="M65" i="2"/>
  <c r="L65" i="2"/>
  <c r="K65" i="2"/>
  <c r="P64" i="2"/>
  <c r="Q64" i="2" s="1"/>
  <c r="M64" i="2"/>
  <c r="L64" i="2"/>
  <c r="K64" i="2"/>
  <c r="P63" i="2"/>
  <c r="T63" i="2" s="1"/>
  <c r="M63" i="2"/>
  <c r="L63" i="2"/>
  <c r="K63" i="2"/>
  <c r="S62" i="2"/>
  <c r="Q62" i="2"/>
  <c r="P62" i="2"/>
  <c r="T62" i="2" s="1"/>
  <c r="M62" i="2"/>
  <c r="L62" i="2"/>
  <c r="K62" i="2"/>
  <c r="T61" i="2"/>
  <c r="S61" i="2"/>
  <c r="Q61" i="2"/>
  <c r="P61" i="2"/>
  <c r="M61" i="2"/>
  <c r="L61" i="2"/>
  <c r="K61" i="2"/>
  <c r="P60" i="2"/>
  <c r="T60" i="2" s="1"/>
  <c r="M60" i="2"/>
  <c r="L60" i="2"/>
  <c r="K60" i="2"/>
  <c r="S59" i="2"/>
  <c r="P59" i="2"/>
  <c r="T59" i="2" s="1"/>
  <c r="M59" i="2"/>
  <c r="L59" i="2"/>
  <c r="K59" i="2"/>
  <c r="T58" i="2"/>
  <c r="S58" i="2"/>
  <c r="P58" i="2"/>
  <c r="Q58" i="2" s="1"/>
  <c r="M58" i="2"/>
  <c r="L58" i="2"/>
  <c r="K58" i="2"/>
  <c r="P57" i="2"/>
  <c r="S57" i="2" s="1"/>
  <c r="M57" i="2"/>
  <c r="L57" i="2"/>
  <c r="K57" i="2"/>
  <c r="T56" i="2"/>
  <c r="Q56" i="2"/>
  <c r="P56" i="2"/>
  <c r="S56" i="2" s="1"/>
  <c r="M56" i="2"/>
  <c r="L56" i="2"/>
  <c r="K56" i="2"/>
  <c r="T55" i="2"/>
  <c r="P55" i="2"/>
  <c r="Q55" i="2" s="1"/>
  <c r="M55" i="2"/>
  <c r="L55" i="2"/>
  <c r="K55" i="2"/>
  <c r="P54" i="2"/>
  <c r="T54" i="2" s="1"/>
  <c r="M54" i="2"/>
  <c r="L54" i="2"/>
  <c r="K54" i="2"/>
  <c r="P53" i="2"/>
  <c r="T53" i="2" s="1"/>
  <c r="M53" i="2"/>
  <c r="L53" i="2"/>
  <c r="K53" i="2"/>
  <c r="S52" i="2"/>
  <c r="Q52" i="2"/>
  <c r="P52" i="2"/>
  <c r="T52" i="2" s="1"/>
  <c r="M52" i="2"/>
  <c r="L52" i="2"/>
  <c r="K52" i="2"/>
  <c r="T51" i="2"/>
  <c r="S51" i="2"/>
  <c r="Q51" i="2"/>
  <c r="P51" i="2"/>
  <c r="M51" i="2"/>
  <c r="L51" i="2"/>
  <c r="K51" i="2"/>
  <c r="P50" i="2"/>
  <c r="T50" i="2" s="1"/>
  <c r="M50" i="2"/>
  <c r="L50" i="2"/>
  <c r="K50" i="2"/>
  <c r="S49" i="2"/>
  <c r="P49" i="2"/>
  <c r="T49" i="2" s="1"/>
  <c r="M49" i="2"/>
  <c r="L49" i="2"/>
  <c r="K49" i="2"/>
  <c r="T48" i="2"/>
  <c r="S48" i="2"/>
  <c r="P48" i="2"/>
  <c r="Q48" i="2" s="1"/>
  <c r="M48" i="2"/>
  <c r="L48" i="2"/>
  <c r="K48" i="2"/>
  <c r="P47" i="2"/>
  <c r="S47" i="2" s="1"/>
  <c r="M47" i="2"/>
  <c r="L47" i="2"/>
  <c r="K47" i="2"/>
  <c r="T46" i="2"/>
  <c r="Q46" i="2"/>
  <c r="P46" i="2"/>
  <c r="S46" i="2" s="1"/>
  <c r="M46" i="2"/>
  <c r="L46" i="2"/>
  <c r="K46" i="2"/>
  <c r="T45" i="2"/>
  <c r="P45" i="2"/>
  <c r="S45" i="2" s="1"/>
  <c r="M45" i="2"/>
  <c r="L45" i="2"/>
  <c r="K45" i="2"/>
  <c r="P44" i="2"/>
  <c r="S44" i="2" s="1"/>
  <c r="M44" i="2"/>
  <c r="L44" i="2"/>
  <c r="K44" i="2"/>
  <c r="P43" i="2"/>
  <c r="T43" i="2" s="1"/>
  <c r="M43" i="2"/>
  <c r="L43" i="2"/>
  <c r="K43" i="2"/>
  <c r="S42" i="2"/>
  <c r="Q42" i="2"/>
  <c r="P42" i="2"/>
  <c r="T42" i="2" s="1"/>
  <c r="M42" i="2"/>
  <c r="L42" i="2"/>
  <c r="K42" i="2"/>
  <c r="T41" i="2"/>
  <c r="S41" i="2"/>
  <c r="Q41" i="2"/>
  <c r="P41" i="2"/>
  <c r="M41" i="2"/>
  <c r="L41" i="2"/>
  <c r="K41" i="2"/>
  <c r="P40" i="2"/>
  <c r="Q40" i="2" s="1"/>
  <c r="M40" i="2"/>
  <c r="L40" i="2"/>
  <c r="K40" i="2"/>
  <c r="S39" i="2"/>
  <c r="P39" i="2"/>
  <c r="T39" i="2" s="1"/>
  <c r="M39" i="2"/>
  <c r="L39" i="2"/>
  <c r="K39" i="2"/>
  <c r="T38" i="2"/>
  <c r="S38" i="2"/>
  <c r="P38" i="2"/>
  <c r="Q38" i="2" s="1"/>
  <c r="M38" i="2"/>
  <c r="L38" i="2"/>
  <c r="K38" i="2"/>
  <c r="P37" i="2"/>
  <c r="Q37" i="2" s="1"/>
  <c r="M37" i="2"/>
  <c r="L37" i="2"/>
  <c r="K37" i="2"/>
  <c r="T36" i="2"/>
  <c r="Q36" i="2"/>
  <c r="P36" i="2"/>
  <c r="S36" i="2" s="1"/>
  <c r="M36" i="2"/>
  <c r="L36" i="2"/>
  <c r="K36" i="2"/>
  <c r="T35" i="2"/>
  <c r="P35" i="2"/>
  <c r="Q35" i="2" s="1"/>
  <c r="M35" i="2"/>
  <c r="L35" i="2"/>
  <c r="K35" i="2"/>
  <c r="P34" i="2"/>
  <c r="T34" i="2" s="1"/>
  <c r="M34" i="2"/>
  <c r="L34" i="2"/>
  <c r="K34" i="2"/>
  <c r="P33" i="2"/>
  <c r="T33" i="2" s="1"/>
  <c r="M33" i="2"/>
  <c r="L33" i="2"/>
  <c r="K33" i="2"/>
  <c r="S32" i="2"/>
  <c r="Q32" i="2"/>
  <c r="P32" i="2"/>
  <c r="T32" i="2" s="1"/>
  <c r="M32" i="2"/>
  <c r="L32" i="2"/>
  <c r="K32" i="2"/>
  <c r="T31" i="2"/>
  <c r="S31" i="2"/>
  <c r="Q31" i="2"/>
  <c r="P31" i="2"/>
  <c r="M31" i="2"/>
  <c r="L31" i="2"/>
  <c r="K31" i="2"/>
  <c r="P30" i="2"/>
  <c r="Q30" i="2" s="1"/>
  <c r="M30" i="2"/>
  <c r="L30" i="2"/>
  <c r="K30" i="2"/>
  <c r="S29" i="2"/>
  <c r="P29" i="2"/>
  <c r="T29" i="2" s="1"/>
  <c r="M29" i="2"/>
  <c r="L29" i="2"/>
  <c r="K29" i="2"/>
  <c r="T28" i="2"/>
  <c r="S28" i="2"/>
  <c r="P28" i="2"/>
  <c r="Q28" i="2" s="1"/>
  <c r="M28" i="2"/>
  <c r="L28" i="2"/>
  <c r="K28" i="2"/>
  <c r="P27" i="2"/>
  <c r="Q27" i="2" s="1"/>
  <c r="M27" i="2"/>
  <c r="L27" i="2"/>
  <c r="K27" i="2"/>
  <c r="T26" i="2"/>
  <c r="Q26" i="2"/>
  <c r="P26" i="2"/>
  <c r="S26" i="2" s="1"/>
  <c r="M26" i="2"/>
  <c r="L26" i="2"/>
  <c r="K26" i="2"/>
  <c r="T25" i="2"/>
  <c r="P25" i="2"/>
  <c r="Q25" i="2" s="1"/>
  <c r="M25" i="2"/>
  <c r="L25" i="2"/>
  <c r="K25" i="2"/>
  <c r="P24" i="2"/>
  <c r="T24" i="2" s="1"/>
  <c r="M24" i="2"/>
  <c r="L24" i="2"/>
  <c r="K24" i="2"/>
  <c r="P23" i="2"/>
  <c r="T23" i="2" s="1"/>
  <c r="M23" i="2"/>
  <c r="L23" i="2"/>
  <c r="K23" i="2"/>
  <c r="S22" i="2"/>
  <c r="Q22" i="2"/>
  <c r="P22" i="2"/>
  <c r="T22" i="2" s="1"/>
  <c r="M22" i="2"/>
  <c r="L22" i="2"/>
  <c r="K22" i="2"/>
  <c r="T21" i="2"/>
  <c r="S21" i="2"/>
  <c r="Q21" i="2"/>
  <c r="P21" i="2"/>
  <c r="M21" i="2"/>
  <c r="L21" i="2"/>
  <c r="K21" i="2"/>
  <c r="P20" i="2"/>
  <c r="T20" i="2" s="1"/>
  <c r="M20" i="2"/>
  <c r="L20" i="2"/>
  <c r="K20" i="2"/>
  <c r="S19" i="2"/>
  <c r="P19" i="2"/>
  <c r="T19" i="2" s="1"/>
  <c r="M19" i="2"/>
  <c r="L19" i="2"/>
  <c r="K19" i="2"/>
  <c r="T18" i="2"/>
  <c r="S18" i="2"/>
  <c r="P18" i="2"/>
  <c r="Q18" i="2" s="1"/>
  <c r="M18" i="2"/>
  <c r="L18" i="2"/>
  <c r="K18" i="2"/>
  <c r="P17" i="2"/>
  <c r="S17" i="2" s="1"/>
  <c r="M17" i="2"/>
  <c r="L17" i="2"/>
  <c r="K17" i="2"/>
  <c r="T16" i="2"/>
  <c r="Q16" i="2"/>
  <c r="P16" i="2"/>
  <c r="S16" i="2" s="1"/>
  <c r="M16" i="2"/>
  <c r="L16" i="2"/>
  <c r="K16" i="2"/>
  <c r="T15" i="2"/>
  <c r="P15" i="2"/>
  <c r="S15" i="2" s="1"/>
  <c r="M15" i="2"/>
  <c r="L15" i="2"/>
  <c r="K15" i="2"/>
  <c r="P14" i="2"/>
  <c r="Q14" i="2" s="1"/>
  <c r="M14" i="2"/>
  <c r="L14" i="2"/>
  <c r="K14" i="2"/>
  <c r="P13" i="2"/>
  <c r="T13" i="2" s="1"/>
  <c r="M13" i="2"/>
  <c r="L13" i="2"/>
  <c r="K13" i="2"/>
  <c r="S12" i="2"/>
  <c r="Q12" i="2"/>
  <c r="P12" i="2"/>
  <c r="T12" i="2" s="1"/>
  <c r="M12" i="2"/>
  <c r="L12" i="2"/>
  <c r="K12" i="2"/>
  <c r="T11" i="2"/>
  <c r="S11" i="2"/>
  <c r="Q11" i="2"/>
  <c r="P11" i="2"/>
  <c r="M11" i="2"/>
  <c r="L11" i="2"/>
  <c r="K11" i="2"/>
  <c r="P10" i="2"/>
  <c r="Q10" i="2" s="1"/>
  <c r="M10" i="2"/>
  <c r="L10" i="2"/>
  <c r="K10" i="2"/>
  <c r="S9" i="2"/>
  <c r="P9" i="2"/>
  <c r="T9" i="2" s="1"/>
  <c r="M9" i="2"/>
  <c r="L9" i="2"/>
  <c r="K9" i="2"/>
  <c r="T8" i="2"/>
  <c r="S8" i="2"/>
  <c r="P8" i="2"/>
  <c r="Q8" i="2" s="1"/>
  <c r="M8" i="2"/>
  <c r="L8" i="2"/>
  <c r="K8" i="2"/>
  <c r="P7" i="2"/>
  <c r="Q7" i="2" s="1"/>
  <c r="M7" i="2"/>
  <c r="L7" i="2"/>
  <c r="K7" i="2"/>
  <c r="T6" i="2"/>
  <c r="Q6" i="2"/>
  <c r="P6" i="2"/>
  <c r="S6" i="2" s="1"/>
  <c r="M6" i="2"/>
  <c r="L6" i="2"/>
  <c r="K6" i="2"/>
  <c r="T5" i="2"/>
  <c r="P5" i="2"/>
  <c r="S5" i="2" s="1"/>
  <c r="M5" i="2"/>
  <c r="L5" i="2"/>
  <c r="K5" i="2"/>
  <c r="P4" i="2"/>
  <c r="S4" i="2" s="1"/>
  <c r="M4" i="2"/>
  <c r="L4" i="2"/>
  <c r="K4" i="2"/>
  <c r="P3" i="2"/>
  <c r="B114" i="2" s="1"/>
  <c r="K3" i="2"/>
  <c r="L3" i="2" s="1"/>
  <c r="D29" i="1"/>
  <c r="C29" i="1"/>
  <c r="B29" i="1"/>
  <c r="D19" i="1"/>
  <c r="C19" i="1"/>
  <c r="B19" i="1"/>
  <c r="D18" i="1"/>
  <c r="C18" i="1"/>
  <c r="B18" i="1"/>
  <c r="D16" i="1"/>
  <c r="C16" i="1"/>
  <c r="C27" i="1" s="1"/>
  <c r="B16" i="1"/>
  <c r="B7" i="1"/>
  <c r="B6" i="1"/>
  <c r="B28" i="1" s="1"/>
  <c r="C24" i="1" l="1"/>
  <c r="B33" i="1"/>
  <c r="C28" i="1"/>
  <c r="C31" i="1" s="1"/>
  <c r="D24" i="1"/>
  <c r="C21" i="1"/>
  <c r="D23" i="1"/>
  <c r="D26" i="1"/>
  <c r="C20" i="1"/>
  <c r="D20" i="1"/>
  <c r="D28" i="1"/>
  <c r="D31" i="1" s="1"/>
  <c r="D21" i="1"/>
  <c r="C22" i="1"/>
  <c r="D22" i="1"/>
  <c r="C23" i="1"/>
  <c r="D25" i="1"/>
  <c r="D27" i="1"/>
  <c r="C26" i="1"/>
  <c r="C25" i="1"/>
  <c r="B24" i="1"/>
  <c r="B31" i="1"/>
  <c r="B25" i="1"/>
  <c r="B21" i="1"/>
  <c r="B23" i="1"/>
  <c r="B22" i="1"/>
  <c r="B20" i="1"/>
  <c r="B26" i="1"/>
  <c r="B27" i="1"/>
  <c r="Q47" i="2"/>
  <c r="S54" i="2"/>
  <c r="Q5" i="2"/>
  <c r="Q15" i="2"/>
  <c r="Q45" i="2"/>
  <c r="S25" i="2"/>
  <c r="S35" i="2"/>
  <c r="S55" i="2"/>
  <c r="S65" i="2"/>
  <c r="S75" i="2"/>
  <c r="S85" i="2"/>
  <c r="S95" i="2"/>
  <c r="T102" i="2"/>
  <c r="Q24" i="2"/>
  <c r="Q34" i="2"/>
  <c r="Q54" i="2"/>
  <c r="S14" i="2"/>
  <c r="Q17" i="2"/>
  <c r="S24" i="2"/>
  <c r="S37" i="2"/>
  <c r="Q60" i="2"/>
  <c r="T64" i="2"/>
  <c r="Q70" i="2"/>
  <c r="T74" i="2"/>
  <c r="T84" i="2"/>
  <c r="S87" i="2"/>
  <c r="Q90" i="2"/>
  <c r="Q3" i="2"/>
  <c r="T7" i="2"/>
  <c r="S10" i="2"/>
  <c r="Q13" i="2"/>
  <c r="T17" i="2"/>
  <c r="S20" i="2"/>
  <c r="Q23" i="2"/>
  <c r="T27" i="2"/>
  <c r="S30" i="2"/>
  <c r="Q33" i="2"/>
  <c r="T37" i="2"/>
  <c r="S40" i="2"/>
  <c r="Q43" i="2"/>
  <c r="T47" i="2"/>
  <c r="S50" i="2"/>
  <c r="Q53" i="2"/>
  <c r="T57" i="2"/>
  <c r="S60" i="2"/>
  <c r="Q63" i="2"/>
  <c r="T67" i="2"/>
  <c r="S70" i="2"/>
  <c r="Q73" i="2"/>
  <c r="T77" i="2"/>
  <c r="S80" i="2"/>
  <c r="Q83" i="2"/>
  <c r="T87" i="2"/>
  <c r="S90" i="2"/>
  <c r="Q93" i="2"/>
  <c r="T97" i="2"/>
  <c r="S100" i="2"/>
  <c r="B110" i="2"/>
  <c r="Q57" i="2"/>
  <c r="S64" i="2"/>
  <c r="S74" i="2"/>
  <c r="Q77" i="2"/>
  <c r="S7" i="2"/>
  <c r="T14" i="2"/>
  <c r="Q20" i="2"/>
  <c r="Q50" i="2"/>
  <c r="S67" i="2"/>
  <c r="Q80" i="2"/>
  <c r="S3" i="2"/>
  <c r="T10" i="2"/>
  <c r="S13" i="2"/>
  <c r="T30" i="2"/>
  <c r="S33" i="2"/>
  <c r="T40" i="2"/>
  <c r="S43" i="2"/>
  <c r="S53" i="2"/>
  <c r="S63" i="2"/>
  <c r="S73" i="2"/>
  <c r="Q76" i="2"/>
  <c r="S83" i="2"/>
  <c r="Q86" i="2"/>
  <c r="S93" i="2"/>
  <c r="Q96" i="2"/>
  <c r="T100" i="2"/>
  <c r="Q4" i="2"/>
  <c r="Q44" i="2"/>
  <c r="Q84" i="2"/>
  <c r="Q94" i="2"/>
  <c r="S34" i="2"/>
  <c r="S94" i="2"/>
  <c r="Q97" i="2"/>
  <c r="T4" i="2"/>
  <c r="S27" i="2"/>
  <c r="T44" i="2"/>
  <c r="S23" i="2"/>
  <c r="T3" i="2"/>
  <c r="Q9" i="2"/>
  <c r="Q19" i="2"/>
  <c r="Q29" i="2"/>
  <c r="Q39" i="2"/>
  <c r="Q49" i="2"/>
  <c r="Q59" i="2"/>
  <c r="Q89" i="2"/>
  <c r="Q99" i="2"/>
  <c r="B32" i="1" l="1"/>
  <c r="B113" i="2"/>
  <c r="B111" i="2"/>
  <c r="B112" i="2" s="1"/>
</calcChain>
</file>

<file path=xl/sharedStrings.xml><?xml version="1.0" encoding="utf-8"?>
<sst xmlns="http://schemas.openxmlformats.org/spreadsheetml/2006/main" count="205" uniqueCount="197">
  <si>
    <t>HIGHLANDER POSITION CALCULATOR</t>
  </si>
  <si>
    <t>ACCOUNT SETUP</t>
  </si>
  <si>
    <t>Total Account Balance</t>
  </si>
  <si>
    <t>Risk % per Trade</t>
  </si>
  <si>
    <t>Risk $ per Trade</t>
  </si>
  <si>
    <t>Per-Slot Margin (÷ 3)</t>
  </si>
  <si>
    <t>ℹ  Risk options: 1% = conservative  |  1.5% = standard  |  2% = aggressive  |  2.5% = max</t>
  </si>
  <si>
    <t>FIELD</t>
  </si>
  <si>
    <t>TRADE 1</t>
  </si>
  <si>
    <t>TRADE 2</t>
  </si>
  <si>
    <t>TRADE 3</t>
  </si>
  <si>
    <t>Symbol</t>
  </si>
  <si>
    <t>Direction</t>
  </si>
  <si>
    <t>Long</t>
  </si>
  <si>
    <t>Entry Price</t>
  </si>
  <si>
    <t>Stop Price</t>
  </si>
  <si>
    <t>TP (2.618 auto)</t>
  </si>
  <si>
    <t>CALCULATED OUTPUTS</t>
  </si>
  <si>
    <t>Stop Distance ($)</t>
  </si>
  <si>
    <t>Stop Distance (%)</t>
  </si>
  <si>
    <t>Position Size ($)</t>
  </si>
  <si>
    <t>Units (coins)</t>
  </si>
  <si>
    <t>Leverage Needed</t>
  </si>
  <si>
    <t>Margin Used ($)</t>
  </si>
  <si>
    <t>Free Margin ($)</t>
  </si>
  <si>
    <t>Profit if TP ($)</t>
  </si>
  <si>
    <t>Profit if TP (% acct)</t>
  </si>
  <si>
    <t>Actual R:R</t>
  </si>
  <si>
    <t>Max Loss ($)</t>
  </si>
  <si>
    <t>Max Loss (% acct)</t>
  </si>
  <si>
    <t>TOTAL EXPOSURE</t>
  </si>
  <si>
    <t>COMBINED RISK IF ALL OPEN</t>
  </si>
  <si>
    <t>COMBINED RISK % OF ACCOUNT</t>
  </si>
  <si>
    <t>⚠  Leverage shown is minimum needed to hold the position in your allocated slot (balance ÷ 3).  Stop is always set BEFORE entry. TP = origin + 2.618 × range (actual RR ≈ 1.079:1).</t>
  </si>
  <si>
    <t>HIGHLANDER TRADE JOURNAL</t>
  </si>
  <si>
    <t>#</t>
  </si>
  <si>
    <t>Date
Opened</t>
  </si>
  <si>
    <t>Date
Closed</t>
  </si>
  <si>
    <t>Entry</t>
  </si>
  <si>
    <t>Stop</t>
  </si>
  <si>
    <t>TP</t>
  </si>
  <si>
    <t>Risk
%</t>
  </si>
  <si>
    <t>Risk
$</t>
  </si>
  <si>
    <t>Position
Size $</t>
  </si>
  <si>
    <t>Units</t>
  </si>
  <si>
    <t>Lev</t>
  </si>
  <si>
    <t>Outcome</t>
  </si>
  <si>
    <t>Exit
Price</t>
  </si>
  <si>
    <t>P&amp;L $</t>
  </si>
  <si>
    <t>R
Multiple</t>
  </si>
  <si>
    <t>Balance
Before</t>
  </si>
  <si>
    <t>Balance
After</t>
  </si>
  <si>
    <t>Running
P&amp;L $</t>
  </si>
  <si>
    <t>Notes</t>
  </si>
  <si>
    <t>SUMMARY</t>
  </si>
  <si>
    <t>Total Trades</t>
  </si>
  <si>
    <t>Wins</t>
  </si>
  <si>
    <t>Full Stops</t>
  </si>
  <si>
    <t>BE Stops</t>
  </si>
  <si>
    <t>Win Rate</t>
  </si>
  <si>
    <t>Total R</t>
  </si>
  <si>
    <t>Avg R/trade</t>
  </si>
  <si>
    <t>Profit Factor</t>
  </si>
  <si>
    <t>Total P&amp;L $</t>
  </si>
  <si>
    <t>HIGHLANDER STRATEGY — RULES &amp; PLAYBOOK</t>
  </si>
  <si>
    <t>1.  HOW THE STRATEGY WORKS</t>
  </si>
  <si>
    <t>Setup name</t>
  </si>
  <si>
    <t>Highlander Engulfing — fib retest at a support/resistance level</t>
  </si>
  <si>
    <t>Timeframe</t>
  </si>
  <si>
    <t>1H candles  (signal bar is 1 hour)</t>
  </si>
  <si>
    <t>Symbols traded</t>
  </si>
  <si>
    <t>SOL/USDT  and  SUI/USDT  (monitored simultaneously by bot)</t>
  </si>
  <si>
    <t>Edge</t>
  </si>
  <si>
    <t>Engulfing candle at a Highlander level → price retests → ML model confirms → enter</t>
  </si>
  <si>
    <t>Win rate (OOS)</t>
  </si>
  <si>
    <t>SOL 56.6%  |  SUI 54.4%  (out-of-sample walk-forward validation)</t>
  </si>
  <si>
    <t>Profit factor</t>
  </si>
  <si>
    <t>SOL 2.76  |  SUI 2.20  (after costs, actual 1.079:1 RR)</t>
  </si>
  <si>
    <t>1.079:1  — stop is 1.5× range below entry, TP is 1.618× range above entry</t>
  </si>
  <si>
    <t>2.  SIGNAL — WHAT THE BOT LOOKS FOR  (you don't need to do this manually)</t>
  </si>
  <si>
    <t>Step 1 — Engulfing</t>
  </si>
  <si>
    <t>A bullish or bearish engulfing candle forms on the 1H chart</t>
  </si>
  <si>
    <t>Step 2 — Level</t>
  </si>
  <si>
    <t>The engulfing candle must be at (or near) an active Highlander support/resistance level</t>
  </si>
  <si>
    <t>Step 3 — ML filter</t>
  </si>
  <si>
    <t>CatBoost model scores the setup.  Score ≥ 0.50 = valid signal.  Below = filtered out (shown in /filtered)</t>
  </si>
  <si>
    <t>Step 4 — Alert</t>
  </si>
  <si>
    <t>Bot sends Discord push notification with entry, stop and TP prices</t>
  </si>
  <si>
    <t>⚠  If you miss the Discord alert, run /pending in Discord to see waiting setups.  Run /filtered to see what the model rejected.</t>
  </si>
  <si>
    <t>3.  FIB LEVELS — THE TRADE STRUCTURE</t>
  </si>
  <si>
    <t>Origin  (fib 0.0)</t>
  </si>
  <si>
    <t>Low of pre-engulfing candle (bull)  /  High (bear).  This is where the level was created.</t>
  </si>
  <si>
    <t>Entry   (fib 1.0)</t>
  </si>
  <si>
    <t>High of pre-engulfing candle (bull)  /  Low (bear).  Price must RETRACE here to activate.</t>
  </si>
  <si>
    <t>Stop    (fib −0.5)</t>
  </si>
  <si>
    <t>Entry − 1.5 × range  (bull)  /  Entry + 1.5 × range  (bear).  Set this BEFORE entering.</t>
  </si>
  <si>
    <t>BE level (fib 1.618)</t>
  </si>
  <si>
    <t>Entry + 1.618 × range  (bull).  When price TOUCHES this → move stop to entry immediately.</t>
  </si>
  <si>
    <t>Take Profit (fib 2.618)</t>
  </si>
  <si>
    <t>Entry + 1.618/1.5 × stop_dist  (bull).  Auto-calculated in the Excel calculator.</t>
  </si>
  <si>
    <t>ℹ  The TP label says '2.618R' in backtests but actual RR is 1.079:1 because stop distance = 1.5 × range, not 1× range.</t>
  </si>
  <si>
    <t>4.  ENTRY RULES</t>
  </si>
  <si>
    <t>When to enter</t>
  </si>
  <si>
    <t>ONLY after bot alert (Discord notification or /pending command shows the setup)</t>
  </si>
  <si>
    <t>Entry price</t>
  </si>
  <si>
    <t>Use the EXACT entry price from the bot — do not guess or use a different level</t>
  </si>
  <si>
    <t>Order type</t>
  </si>
  <si>
    <t>Limit order at the entry price.  Do not use market orders.</t>
  </si>
  <si>
    <t>Expiry</t>
  </si>
  <si>
    <t>If price has not retested entry within 50 bars (~50 hours) → cancel the order.  Bot marks it as Cancelled.</t>
  </si>
  <si>
    <t>Max open trades</t>
  </si>
  <si>
    <t>3 maximum simultaneously.  Never open a 4th until one closes.</t>
  </si>
  <si>
    <t>Same symbol</t>
  </si>
  <si>
    <t>If 2 setups appear on SOL at the same time, only take the one with the higher ML score</t>
  </si>
  <si>
    <t>⚠  NEVER chase price.  If price blows through the entry level without a clean retest, skip the trade.</t>
  </si>
  <si>
    <t>5.  POSITION SIZING  (use the Calculator sheet)</t>
  </si>
  <si>
    <t>Risk per trade</t>
  </si>
  <si>
    <t>1.0%–1.5% of TOTAL account balance (not per-slot balance)</t>
  </si>
  <si>
    <t>Account split</t>
  </si>
  <si>
    <t>Account ÷ 3 = margin available per open trade slot</t>
  </si>
  <si>
    <t>Units formula</t>
  </si>
  <si>
    <t>Units = Risk$ ÷ Stop_distance_$     e.g. $130 ÷ $0.80 = 162.5 SOL</t>
  </si>
  <si>
    <t>Position size</t>
  </si>
  <si>
    <t>Position$ = Units × Entry price     e.g. 162.5 × $89.70 = $14,576</t>
  </si>
  <si>
    <t>Leverage</t>
  </si>
  <si>
    <t>Leverage = CEILING(Position$ ÷ Slot_margin, 1)     e.g. $14,576 ÷ $4,333 = 4x</t>
  </si>
  <si>
    <t>Leverage limit</t>
  </si>
  <si>
    <t>Never go above 10x.  If the calculator shows &gt;10x, reduce risk % or skip the trade.</t>
  </si>
  <si>
    <t>ℹ  Leverage does NOT increase your risk %.  Your risk is always fixed by the stop loss distance.  Leverage only reduces margin required.</t>
  </si>
  <si>
    <t>6.  STOP LOSS MANAGEMENT  — THE MOST IMPORTANT RULE</t>
  </si>
  <si>
    <t>Set stop immediately</t>
  </si>
  <si>
    <t>As soon as your limit order fills → set stop loss at the fib −0.5 level.  No exceptions.</t>
  </si>
  <si>
    <t>NEVER widen the stop</t>
  </si>
  <si>
    <t>If price approaches your stop — do nothing.  Let it hit.  Widening stops destroys the edge.</t>
  </si>
  <si>
    <t>Move to break-even</t>
  </si>
  <si>
    <t>When price hits fib 1.618 (BE level) → immediately move stop to ENTRY price.  Do this manually on Bybit.</t>
  </si>
  <si>
    <t>After moving to BE</t>
  </si>
  <si>
    <t>Worst case is now ~−0.04R (just costs).  Let the trade run to TP at 2.618.</t>
  </si>
  <si>
    <t>Bot tracking</t>
  </si>
  <si>
    <t>Bot automatically tracks BE stops.  A 'BE Stop' result = small loss of ~−$5 (costs only).</t>
  </si>
  <si>
    <t>⚠  The BE stop rule is what gives this strategy its edge.  Skipping it turns 1.079:1 RR into a losing system.</t>
  </si>
  <si>
    <t>7.  TAKE PROFIT</t>
  </si>
  <si>
    <t>TP target</t>
  </si>
  <si>
    <t>fib 2.618  =  Entry + 1.618/1.5 × Stop_distance  (auto-calculated in Excel)</t>
  </si>
  <si>
    <t>Set a limit take-profit order at the TP price immediately after entry fills</t>
  </si>
  <si>
    <t>Partial TP</t>
  </si>
  <si>
    <t>Optional: take 50% at fib 1.618 (BE level) and let rest run to 2.618.  Default: full TP at 2.618 only.</t>
  </si>
  <si>
    <t>If TP not reached</t>
  </si>
  <si>
    <t>After 200 bars (~8 days) without resolution → close manually at market.  Bot flags this.</t>
  </si>
  <si>
    <t>8.  DISCORD BOT COMMANDS</t>
  </si>
  <si>
    <t>/overview</t>
  </si>
  <si>
    <t>Full status — pending setups, active trades, recent results, filtered, all symbols</t>
  </si>
  <si>
    <t>/pending</t>
  </si>
  <si>
    <t>Setups waiting for price to retest the entry level (not yet activated)</t>
  </si>
  <si>
    <t>/active</t>
  </si>
  <si>
    <t>Trades currently open — shows unrealised R</t>
  </si>
  <si>
    <t>/results</t>
  </si>
  <si>
    <t>Recent completed trades — won, full stop, BE stop</t>
  </si>
  <si>
    <t>/filtered</t>
  </si>
  <si>
    <t>Setups that retested but ML model scored &lt; 0.50 — do NOT take these manually</t>
  </si>
  <si>
    <t>/cancelled</t>
  </si>
  <si>
    <t>Setups that expired without a retest (price never came back within 50 bars)</t>
  </si>
  <si>
    <t>ℹ  Bot runs live_signals.py — check it's running with:  ps aux | grep live_signals.  Restart if needed.</t>
  </si>
  <si>
    <t>9.  KEY NUMBERS AT A GLANCE</t>
  </si>
  <si>
    <t>1.079 : 1   (not 2.618 — that's the fib label, not the real ratio)</t>
  </si>
  <si>
    <t>SOL signals/month</t>
  </si>
  <si>
    <t>~24   |  Win rate 56.6%  |  Profit factor 2.76  |  Net 9.3R/month</t>
  </si>
  <si>
    <t>SUI signals/month</t>
  </si>
  <si>
    <t>~33   |  Win rate 54.4%  |  Profit factor 2.20  |  Net 10.5R/month</t>
  </si>
  <si>
    <t>Combined R/month</t>
  </si>
  <si>
    <t>~19.8R   →   19.8% monthly return at 1% risk per trade</t>
  </si>
  <si>
    <t>Year 1 at 1% risk</t>
  </si>
  <si>
    <t>$13,000  →  ~$113,000  (compounding, average monthly returns)</t>
  </si>
  <si>
    <t>Year 1 at 1.5% risk</t>
  </si>
  <si>
    <t>$13,000  →  ~$295,000  (compounding — higher variance, more drawdown risk)</t>
  </si>
  <si>
    <t>⚠  These are backtest averages.  Real months vary widely.  Stick to rules in losing months — the edge is real.</t>
  </si>
  <si>
    <t>10.  COMMON MISTAKES — DO NOT DO THESE</t>
  </si>
  <si>
    <t>❌  Cherry-picking</t>
  </si>
  <si>
    <t>Taking only signals you 'like' the look of.  Take every signal the bot passes.</t>
  </si>
  <si>
    <t>❌  Widening stops</t>
  </si>
  <si>
    <t>Moving stop further away because 'it looks like it'll bounce'.  Never.</t>
  </si>
  <si>
    <t>❌  Moving TP early</t>
  </si>
  <si>
    <t>Closing before TP because you've got profit.  Trust the system.</t>
  </si>
  <si>
    <t>❌  Skipping BE move</t>
  </si>
  <si>
    <t>Forgetting to move stop to entry when 1.618 hits.  Set a price alert on Bybit.</t>
  </si>
  <si>
    <t>❌  Oversizing</t>
  </si>
  <si>
    <t>Risking more than 2.5% on a single trade.  Use the calculator every time.</t>
  </si>
  <si>
    <t>❌  Taking filtered</t>
  </si>
  <si>
    <t>Manually entering setups the ML model rejected (/filtered list).  It filtered them for a reason.</t>
  </si>
  <si>
    <t>❌  4th open trade</t>
  </si>
  <si>
    <t>Opening a trade when 3 are already active.  Wait for one to close.</t>
  </si>
  <si>
    <t>SOL</t>
  </si>
  <si>
    <t>x2</t>
  </si>
  <si>
    <t>Win</t>
  </si>
  <si>
    <t>ton</t>
  </si>
  <si>
    <t xml:space="preserve">link 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</si>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</sst>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.00"/>
    <numFmt numFmtId="165" formatCode="0.0%"/>
    <numFmt numFmtId="166" formatCode="#,##0.0000"/>
    <numFmt numFmtId="167" formatCode="&quot;$&quot;#,##0.0000"/>
    <numFmt numFmtId="168" formatCode="0.000&quot;%&quot;"/>
    <numFmt numFmtId="169" formatCode="0&quot;x&quot;"/>
    <numFmt numFmtId="170" formatCode="0.00&quot;%&quot;"/>
    <numFmt numFmtId="171" formatCode="0.000&quot;:1&quot;"/>
    <numFmt numFmtId="172" formatCode="0.0&quot;%&quot;"/>
    <numFmt numFmtId="173" formatCode="#,##0.000"/>
    <numFmt numFmtId="174" formatCode="0.00&quot;R&quot;"/>
    <numFmt numFmtId="175" formatCode="0.0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10"/>
      <color rgb="FF1B2A4A"/>
      <name val="Calibri"/>
      <family val="2"/>
    </font>
    <font>
      <sz val="10"/>
      <name val="Calibri"/>
      <family val="2"/>
    </font>
    <font>
      <i/>
      <sz val="9"/>
      <color rgb="FF7D4E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2F2F2"/>
      </patternFill>
    </fill>
    <fill>
      <patternFill patternType="solid">
        <fgColor rgb="FFFFF9E6"/>
      </patternFill>
    </fill>
    <fill>
      <patternFill patternType="solid">
        <fgColor rgb="FFEBF3FF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8B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5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169" fontId="4" fillId="6" borderId="1" xfId="0" applyNumberFormat="1" applyFont="1" applyFill="1" applyBorder="1" applyAlignment="1">
      <alignment horizontal="center" vertical="center" wrapText="1"/>
    </xf>
    <xf numFmtId="170" fontId="4" fillId="6" borderId="1" xfId="0" applyNumberFormat="1" applyFont="1" applyFill="1" applyBorder="1" applyAlignment="1">
      <alignment horizontal="center" vertical="center" wrapText="1"/>
    </xf>
    <xf numFmtId="171" fontId="4" fillId="6" borderId="1" xfId="0" applyNumberFormat="1" applyFont="1" applyFill="1" applyBorder="1" applyAlignment="1">
      <alignment horizontal="center" vertical="center" wrapText="1"/>
    </xf>
    <xf numFmtId="172" fontId="4" fillId="6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73" fontId="3" fillId="6" borderId="1" xfId="0" applyNumberFormat="1" applyFont="1" applyFill="1" applyBorder="1" applyAlignment="1">
      <alignment horizontal="center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174" fontId="3" fillId="6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175" fontId="4" fillId="6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10" fillId="4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left" vertical="center" wrapText="1" indent="1"/>
    </xf>
    <xf numFmtId="0" fontId="11" fillId="9" borderId="1" xfId="0" applyFont="1" applyFill="1" applyBorder="1" applyAlignment="1">
      <alignment horizontal="left" vertical="center" wrapText="1" indent="1"/>
    </xf>
    <xf numFmtId="0" fontId="11" fillId="10" borderId="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wrapText="1"/>
    </xf>
    <xf numFmtId="0" fontId="0" fillId="0" borderId="0" xfId="0"/>
    <xf numFmtId="172" fontId="4" fillId="6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D36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5" x14ac:dyDescent="0.2"/>
  <cols>
    <col min="1" max="1" width="26" customWidth="1"/>
    <col min="2" max="4" width="18" customWidth="1"/>
    <col min="5" max="5" width="19.33203125" customWidth="1"/>
  </cols>
  <sheetData>
    <row r="1" spans="1:4" ht="30" customHeight="1" x14ac:dyDescent="0.2">
      <c r="A1" s="45" t="s">
        <v>0</v>
      </c>
      <c r="B1" s="43"/>
      <c r="C1" s="43"/>
      <c r="D1" s="44"/>
    </row>
    <row r="2" spans="1:4" ht="8" customHeight="1" x14ac:dyDescent="0.2"/>
    <row r="3" spans="1:4" x14ac:dyDescent="0.2">
      <c r="A3" s="46" t="s">
        <v>1</v>
      </c>
      <c r="B3" s="43"/>
      <c r="C3" s="43"/>
      <c r="D3" s="44"/>
    </row>
    <row r="4" spans="1:4" x14ac:dyDescent="0.2">
      <c r="A4" s="2" t="s">
        <v>2</v>
      </c>
      <c r="B4" s="3">
        <v>500000</v>
      </c>
      <c r="C4" s="4"/>
      <c r="D4" s="4"/>
    </row>
    <row r="5" spans="1:4" x14ac:dyDescent="0.2">
      <c r="A5" s="2" t="s">
        <v>3</v>
      </c>
      <c r="B5" s="5">
        <v>0.01</v>
      </c>
      <c r="C5" s="4"/>
      <c r="D5" s="4"/>
    </row>
    <row r="6" spans="1:4" x14ac:dyDescent="0.2">
      <c r="A6" s="2" t="s">
        <v>4</v>
      </c>
      <c r="B6" s="6">
        <f>$B$4*$B$5</f>
        <v>5000</v>
      </c>
      <c r="C6" s="4"/>
      <c r="D6" s="4"/>
    </row>
    <row r="7" spans="1:4" x14ac:dyDescent="0.2">
      <c r="A7" s="2" t="s">
        <v>5</v>
      </c>
      <c r="B7" s="6">
        <f>$B$4/3</f>
        <v>166666.66666666666</v>
      </c>
      <c r="C7" s="4"/>
      <c r="D7" s="4"/>
    </row>
    <row r="8" spans="1:4" ht="8" customHeight="1" x14ac:dyDescent="0.2"/>
    <row r="9" spans="1:4" x14ac:dyDescent="0.2">
      <c r="A9" s="47" t="s">
        <v>6</v>
      </c>
      <c r="B9" s="41"/>
      <c r="C9" s="41"/>
      <c r="D9" s="41"/>
    </row>
    <row r="10" spans="1:4" ht="8" customHeight="1" x14ac:dyDescent="0.2"/>
    <row r="11" spans="1:4" ht="22" customHeight="1" x14ac:dyDescent="0.2">
      <c r="A11" s="7" t="s">
        <v>7</v>
      </c>
      <c r="B11" s="8" t="s">
        <v>8</v>
      </c>
      <c r="C11" s="8" t="s">
        <v>9</v>
      </c>
      <c r="D11" s="8" t="s">
        <v>10</v>
      </c>
    </row>
    <row r="12" spans="1:4" ht="20" customHeight="1" x14ac:dyDescent="0.2">
      <c r="A12" s="2" t="s">
        <v>11</v>
      </c>
      <c r="B12" s="9" t="s">
        <v>195</v>
      </c>
      <c r="C12" s="9" t="s">
        <v>196</v>
      </c>
      <c r="D12" s="9" t="s">
        <v>194</v>
      </c>
    </row>
    <row r="13" spans="1:4" ht="20" customHeight="1" x14ac:dyDescent="0.2">
      <c r="A13" s="2" t="s">
        <v>12</v>
      </c>
      <c r="B13" s="9" t="s">
        <v>13</v>
      </c>
      <c r="C13" s="9" t="s">
        <v>13</v>
      </c>
      <c r="D13" s="9" t="s">
        <v>13</v>
      </c>
    </row>
    <row r="14" spans="1:4" ht="20" customHeight="1" x14ac:dyDescent="0.2">
      <c r="A14" s="2" t="s">
        <v>14</v>
      </c>
      <c r="B14" s="10">
        <v>10.02</v>
      </c>
      <c r="C14" s="10">
        <v>89.480999999999995</v>
      </c>
      <c r="D14" s="10">
        <v>2.5099999999999998</v>
      </c>
    </row>
    <row r="15" spans="1:4" ht="20" customHeight="1" x14ac:dyDescent="0.2">
      <c r="A15" s="2" t="s">
        <v>15</v>
      </c>
      <c r="B15" s="10">
        <v>9.9120000000000008</v>
      </c>
      <c r="C15" s="10">
        <v>88.307000000000002</v>
      </c>
      <c r="D15" s="10">
        <v>2.3769999999999998</v>
      </c>
    </row>
    <row r="16" spans="1:4" ht="20" customHeight="1" x14ac:dyDescent="0.2">
      <c r="A16" s="2" t="s">
        <v>16</v>
      </c>
      <c r="B16" s="11">
        <f>IF(B14="","",IF(B13="Long",B14+ABS(B14-B15)*(1.618/1.5),IF(B13="Short",B14-ABS(B14-B15)*(1.618/1.5),"")))</f>
        <v>10.136495999999998</v>
      </c>
      <c r="C16" s="11">
        <f>IF(C14="","",IF(C13="Long",C14+ABS(C14-C15)*(1.618/1.5),IF(C13="Short",C14-ABS(C14-C15)*(1.618/1.5),"")))</f>
        <v>90.747354666666652</v>
      </c>
      <c r="D16" s="11">
        <f>IF(D14="","",IF(D13="Long",D14+ABS(D14-D15)*(1.618/1.5),IF(D13="Short",D14-ABS(D14-D15)*(1.618/1.5),"")))</f>
        <v>2.6534626666666665</v>
      </c>
    </row>
    <row r="17" spans="1:4" ht="20" customHeight="1" x14ac:dyDescent="0.2">
      <c r="A17" s="46" t="s">
        <v>17</v>
      </c>
      <c r="B17" s="43"/>
      <c r="C17" s="43"/>
      <c r="D17" s="44"/>
    </row>
    <row r="18" spans="1:4" ht="20" customHeight="1" x14ac:dyDescent="0.2">
      <c r="A18" s="2" t="s">
        <v>18</v>
      </c>
      <c r="B18" s="12">
        <f>IF(B14="","",ABS(B14-B15))</f>
        <v>0.10799999999999876</v>
      </c>
      <c r="C18" s="12">
        <f>IF(C14="","",ABS(C14-C15))</f>
        <v>1.1739999999999924</v>
      </c>
      <c r="D18" s="12">
        <f>IF(D14="","",ABS(D14-D15))</f>
        <v>0.13300000000000001</v>
      </c>
    </row>
    <row r="19" spans="1:4" ht="20" customHeight="1" x14ac:dyDescent="0.2">
      <c r="A19" s="2" t="s">
        <v>19</v>
      </c>
      <c r="B19" s="13">
        <f>IF(B14="","",ABS(B14-B15)/B14*100)</f>
        <v>1.0778443113772331</v>
      </c>
      <c r="C19" s="13">
        <f>IF(C14="","",ABS(C14-C15)/C14*100)</f>
        <v>1.3120103709167223</v>
      </c>
      <c r="D19" s="13">
        <f>IF(D14="","",ABS(D14-D15)/D14*100)</f>
        <v>5.2988047808764946</v>
      </c>
    </row>
    <row r="20" spans="1:4" ht="20" customHeight="1" x14ac:dyDescent="0.2">
      <c r="A20" s="2" t="s">
        <v>20</v>
      </c>
      <c r="B20" s="6">
        <f>IF(B14="","",$B$6/ABS(B14-B15)*B14)</f>
        <v>463888.88888889417</v>
      </c>
      <c r="C20" s="6">
        <f>IF(C14="","",$B$6/ABS(C14-C15)*C14)</f>
        <v>381094.5485519616</v>
      </c>
      <c r="D20" s="6">
        <f>IF(D14="","",$B$6/ABS(D14-D15)*D14)</f>
        <v>94360.902255639085</v>
      </c>
    </row>
    <row r="21" spans="1:4" ht="20" customHeight="1" x14ac:dyDescent="0.2">
      <c r="A21" s="2" t="s">
        <v>21</v>
      </c>
      <c r="B21" s="14">
        <f>IF(B14="","",$B$6/ABS(B14-B15))</f>
        <v>46296.296296296823</v>
      </c>
      <c r="C21" s="14">
        <f>IF(C14="","",$B$6/ABS(C14-C15))</f>
        <v>4258.9437819421064</v>
      </c>
      <c r="D21" s="14">
        <f>IF(D14="","",$B$6/ABS(D14-D15))</f>
        <v>37593.984962406015</v>
      </c>
    </row>
    <row r="22" spans="1:4" ht="20" customHeight="1" x14ac:dyDescent="0.2">
      <c r="A22" s="2" t="s">
        <v>22</v>
      </c>
      <c r="B22" s="15">
        <f>IF(B14="","",MAX(1,CEILING($B$6/ABS(B14-B15)*B14/$B$7,1)))</f>
        <v>3</v>
      </c>
      <c r="C22" s="15">
        <f>IF(C14="","",MAX(1,CEILING($B$6/ABS(C14-C15)*C14/$B$7,1)))</f>
        <v>3</v>
      </c>
      <c r="D22" s="15">
        <f>IF(D14="","",MAX(1,CEILING($B$6/ABS(D14-D15)*D14/$B$7,1)))</f>
        <v>1</v>
      </c>
    </row>
    <row r="23" spans="1:4" ht="20" customHeight="1" x14ac:dyDescent="0.2">
      <c r="A23" s="2" t="s">
        <v>23</v>
      </c>
      <c r="B23" s="6">
        <f>IF(B14="","",($B$6/ABS(B14-B15)*B14)/MAX(1,CEILING($B$6/ABS(B14-B15)*B14/$B$7,1)))</f>
        <v>154629.62962963138</v>
      </c>
      <c r="C23" s="6">
        <f>IF(C14="","",($B$6/ABS(C14-C15)*C14)/MAX(1,CEILING($B$6/ABS(C14-C15)*C14/$B$7,1)))</f>
        <v>127031.5161839872</v>
      </c>
      <c r="D23" s="6">
        <f>IF(D14="","",($B$6/ABS(D14-D15)*D14)/MAX(1,CEILING($B$6/ABS(D14-D15)*D14/$B$7,1)))</f>
        <v>94360.902255639085</v>
      </c>
    </row>
    <row r="24" spans="1:4" ht="20" customHeight="1" x14ac:dyDescent="0.2">
      <c r="A24" s="2" t="s">
        <v>24</v>
      </c>
      <c r="B24" s="6">
        <f>IF(B14="","",$B$7-($B$6/ABS(B14-B15)*B14)/MAX(1,CEILING($B$6/ABS(B14-B15)*B14/$B$7,1)))</f>
        <v>12037.037037035276</v>
      </c>
      <c r="C24" s="6">
        <f>IF(C14="","",$B$7-($B$6/ABS(C14-C15)*C14)/MAX(1,CEILING($B$6/ABS(C14-C15)*C14/$B$7,1)))</f>
        <v>39635.150482679455</v>
      </c>
      <c r="D24" s="6">
        <f>IF(D14="","",$B$7-($B$6/ABS(D14-D15)*D14)/MAX(1,CEILING($B$6/ABS(D14-D15)*D14/$B$7,1)))</f>
        <v>72305.764411027572</v>
      </c>
    </row>
    <row r="25" spans="1:4" ht="20" customHeight="1" x14ac:dyDescent="0.2">
      <c r="A25" s="2" t="s">
        <v>25</v>
      </c>
      <c r="B25" s="6">
        <f>IF(B14="","",ABS(B16-B14)*($B$6/ABS(B14-B15)))</f>
        <v>5393.3333333332994</v>
      </c>
      <c r="C25" s="6">
        <f>IF(C14="","",ABS(C16-C14)*($B$6/ABS(C14-C15)))</f>
        <v>5393.3333333333303</v>
      </c>
      <c r="D25" s="6">
        <f>IF(D14="","",ABS(D16-D14)*($B$6/ABS(D14-D15)))</f>
        <v>5393.3333333333358</v>
      </c>
    </row>
    <row r="26" spans="1:4" ht="20" customHeight="1" x14ac:dyDescent="0.2">
      <c r="A26" s="2" t="s">
        <v>26</v>
      </c>
      <c r="B26" s="16">
        <f>IF(B14="","",ABS(B16-B14)*($B$6/ABS(B14-B15))/$B$4*100)</f>
        <v>1.07866666666666</v>
      </c>
      <c r="C26" s="16">
        <f>IF(C14="","",ABS(C16-C14)*($B$6/ABS(C14-C15))/$B$4*100)</f>
        <v>1.0786666666666662</v>
      </c>
      <c r="D26" s="16">
        <f>IF(D14="","",ABS(D16-D14)*($B$6/ABS(D14-D15))/$B$4*100)</f>
        <v>1.0786666666666671</v>
      </c>
    </row>
    <row r="27" spans="1:4" ht="20" customHeight="1" x14ac:dyDescent="0.2">
      <c r="A27" s="2" t="s">
        <v>27</v>
      </c>
      <c r="B27" s="17">
        <f>IF(B14="","",ABS(B16-B14)/ABS(B14-B15))</f>
        <v>1.07866666666666</v>
      </c>
      <c r="C27" s="17">
        <f>IF(C14="","",ABS(C16-C14)/ABS(C14-C15))</f>
        <v>1.078666666666666</v>
      </c>
      <c r="D27" s="17">
        <f>IF(D14="","",ABS(D16-D14)/ABS(D14-D15))</f>
        <v>1.0786666666666671</v>
      </c>
    </row>
    <row r="28" spans="1:4" ht="20" customHeight="1" x14ac:dyDescent="0.2">
      <c r="A28" s="2" t="s">
        <v>28</v>
      </c>
      <c r="B28" s="6">
        <f>IF(B14="","",$B$6)</f>
        <v>5000</v>
      </c>
      <c r="C28" s="6">
        <f>IF(C14="","",$B$6)</f>
        <v>5000</v>
      </c>
      <c r="D28" s="6">
        <f>IF(D14="","",$B$6)</f>
        <v>5000</v>
      </c>
    </row>
    <row r="29" spans="1:4" ht="20" customHeight="1" x14ac:dyDescent="0.2">
      <c r="A29" s="2" t="s">
        <v>29</v>
      </c>
      <c r="B29" s="18">
        <f>IF(B14="","",$B$5*100)</f>
        <v>1</v>
      </c>
      <c r="C29" s="18">
        <f>IF(C14="","",$B$5*100)</f>
        <v>1</v>
      </c>
      <c r="D29" s="18">
        <f>IF(D14="","",$B$5*100)</f>
        <v>1</v>
      </c>
    </row>
    <row r="30" spans="1:4" ht="8" customHeight="1" x14ac:dyDescent="0.2"/>
    <row r="31" spans="1:4" ht="22" customHeight="1" x14ac:dyDescent="0.2">
      <c r="A31" s="1" t="s">
        <v>30</v>
      </c>
      <c r="B31" s="6">
        <f>IF(B14="","",B28)</f>
        <v>5000</v>
      </c>
      <c r="C31" s="6">
        <f>IF(C14="","",C28)</f>
        <v>5000</v>
      </c>
      <c r="D31" s="6">
        <f>IF(D14="","",D28)</f>
        <v>5000</v>
      </c>
    </row>
    <row r="32" spans="1:4" ht="22" customHeight="1" x14ac:dyDescent="0.2">
      <c r="A32" s="7" t="s">
        <v>31</v>
      </c>
      <c r="B32" s="48">
        <f>IFERROR(SUM(IF(B14&lt;&gt;"",B28,0),IF(C14&lt;&gt;"",C28,0),IF(D14&lt;&gt;"",D28,0)),"—")</f>
        <v>15000</v>
      </c>
      <c r="C32" s="43"/>
      <c r="D32" s="44"/>
    </row>
    <row r="33" spans="1:4" ht="22" customHeight="1" x14ac:dyDescent="0.2">
      <c r="A33" s="7" t="s">
        <v>32</v>
      </c>
      <c r="B33" s="42">
        <f>IFERROR(SUM(IF(B14&lt;&gt;"",B29,0),IF(C14&lt;&gt;"",C29,0),IF(D14&lt;&gt;"",D29,0)),"—")</f>
        <v>3</v>
      </c>
      <c r="C33" s="43"/>
      <c r="D33" s="44"/>
    </row>
    <row r="35" spans="1:4" ht="8" customHeight="1" x14ac:dyDescent="0.2"/>
    <row r="36" spans="1:4" ht="30" customHeight="1" x14ac:dyDescent="0.2">
      <c r="A36" s="40" t="s">
        <v>33</v>
      </c>
      <c r="B36" s="41"/>
      <c r="C36" s="41"/>
      <c r="D36" s="41"/>
    </row>
  </sheetData>
  <mergeCells count="7">
    <mergeCell ref="A36:D36"/>
    <mergeCell ref="B33:D33"/>
    <mergeCell ref="A1:D1"/>
    <mergeCell ref="A17:D17"/>
    <mergeCell ref="A9:D9"/>
    <mergeCell ref="B32:D32"/>
    <mergeCell ref="A3:D3"/>
  </mergeCells>
  <dataValidations count="1">
    <dataValidation type="list" allowBlank="1" sqref="B13:D13" xr:uid="{00000000-0002-0000-0000-000000000000}">
      <formula1>"Long,Short"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U114"/>
  <sheetViews>
    <sheetView workbookViewId="0">
      <pane ySplit="2" topLeftCell="A3" activePane="bottomLeft" state="frozen"/>
      <selection pane="bottomLeft" activeCell="R4" sqref="R4"/>
    </sheetView>
  </sheetViews>
  <sheetFormatPr baseColWidth="10" defaultColWidth="8.83203125" defaultRowHeight="15" x14ac:dyDescent="0.2"/>
  <cols>
    <col min="1" max="1" width="5" customWidth="1"/>
    <col min="2" max="3" width="13" customWidth="1"/>
    <col min="4" max="5" width="8" customWidth="1"/>
    <col min="6" max="8" width="11" customWidth="1"/>
    <col min="9" max="9" width="8" customWidth="1"/>
    <col min="10" max="10" width="10" customWidth="1"/>
    <col min="11" max="11" width="13" customWidth="1"/>
    <col min="12" max="12" width="10" customWidth="1"/>
    <col min="13" max="13" width="8" customWidth="1"/>
    <col min="14" max="14" width="13" customWidth="1"/>
    <col min="15" max="16" width="11" customWidth="1"/>
    <col min="17" max="17" width="10" customWidth="1"/>
    <col min="18" max="20" width="14" customWidth="1"/>
    <col min="21" max="21" width="20" customWidth="1"/>
  </cols>
  <sheetData>
    <row r="1" spans="1:21" ht="30" customHeight="1" x14ac:dyDescent="0.2">
      <c r="A1" s="45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</row>
    <row r="2" spans="1:21" ht="36" customHeight="1" x14ac:dyDescent="0.2">
      <c r="A2" s="19" t="s">
        <v>35</v>
      </c>
      <c r="B2" s="19" t="s">
        <v>36</v>
      </c>
      <c r="C2" s="19" t="s">
        <v>37</v>
      </c>
      <c r="D2" s="19" t="s">
        <v>11</v>
      </c>
      <c r="E2" s="19" t="s">
        <v>12</v>
      </c>
      <c r="F2" s="19" t="s">
        <v>38</v>
      </c>
      <c r="G2" s="19" t="s">
        <v>39</v>
      </c>
      <c r="H2" s="19" t="s">
        <v>40</v>
      </c>
      <c r="I2" s="19" t="s">
        <v>41</v>
      </c>
      <c r="J2" s="19" t="s">
        <v>42</v>
      </c>
      <c r="K2" s="19" t="s">
        <v>43</v>
      </c>
      <c r="L2" s="19" t="s">
        <v>44</v>
      </c>
      <c r="M2" s="19" t="s">
        <v>45</v>
      </c>
      <c r="N2" s="19" t="s">
        <v>46</v>
      </c>
      <c r="O2" s="19" t="s">
        <v>47</v>
      </c>
      <c r="P2" s="19" t="s">
        <v>48</v>
      </c>
      <c r="Q2" s="19" t="s">
        <v>49</v>
      </c>
      <c r="R2" s="19" t="s">
        <v>50</v>
      </c>
      <c r="S2" s="19" t="s">
        <v>51</v>
      </c>
      <c r="T2" s="19" t="s">
        <v>52</v>
      </c>
      <c r="U2" s="19" t="s">
        <v>53</v>
      </c>
    </row>
    <row r="3" spans="1:21" ht="18" customHeight="1" x14ac:dyDescent="0.2">
      <c r="A3" s="20">
        <v>1</v>
      </c>
      <c r="B3" s="21">
        <v>46180</v>
      </c>
      <c r="C3" s="21">
        <v>46149</v>
      </c>
      <c r="D3" s="22" t="s">
        <v>191</v>
      </c>
      <c r="E3" s="22" t="s">
        <v>13</v>
      </c>
      <c r="F3" s="23">
        <v>88.83</v>
      </c>
      <c r="G3" s="23">
        <v>86.79</v>
      </c>
      <c r="H3" s="23">
        <v>91.03</v>
      </c>
      <c r="I3" s="24">
        <v>1.4999999999999999E-2</v>
      </c>
      <c r="J3" s="25">
        <v>195</v>
      </c>
      <c r="K3" s="26">
        <f t="shared" ref="K3:K34" si="0">IF(F3="","",J3/ABS(F3-G3)*F3)</f>
        <v>8491.102941176503</v>
      </c>
      <c r="L3" s="27">
        <f t="shared" ref="L3:L34" si="1">IF(F3="","",K3/F3)</f>
        <v>95.588235294118007</v>
      </c>
      <c r="M3" s="28" t="s">
        <v>192</v>
      </c>
      <c r="N3" s="22" t="s">
        <v>193</v>
      </c>
      <c r="O3" s="23">
        <v>91.03</v>
      </c>
      <c r="P3" s="26">
        <f t="shared" ref="P3:P34" si="2">IF(OR(F3="",O3=""),"",IF(E3="Long",(O3-F3)*L3,(F3-O3)*L3))</f>
        <v>210.29411764705989</v>
      </c>
      <c r="Q3" s="29">
        <f t="shared" ref="Q3:Q34" si="3">IF(OR(J3="",J3=0,P3=""),"",P3/J3)</f>
        <v>1.0784313725490251</v>
      </c>
      <c r="R3" s="25">
        <v>13000</v>
      </c>
      <c r="S3" s="26">
        <f t="shared" ref="S3:S34" si="4">IF(OR(R3="",P3=""),"",R3+P3)</f>
        <v>13210.294117647059</v>
      </c>
      <c r="T3" s="26">
        <f>IF(P3="","",SUM(P$3:P3))</f>
        <v>210.29411764705989</v>
      </c>
      <c r="U3" s="30"/>
    </row>
    <row r="4" spans="1:21" ht="18" customHeight="1" x14ac:dyDescent="0.2">
      <c r="A4" s="20">
        <v>2</v>
      </c>
      <c r="B4" s="21"/>
      <c r="C4" s="21"/>
      <c r="D4" s="22"/>
      <c r="E4" s="22"/>
      <c r="F4" s="23"/>
      <c r="G4" s="23"/>
      <c r="H4" s="23"/>
      <c r="I4" s="24"/>
      <c r="J4" s="25"/>
      <c r="K4" s="26" t="str">
        <f t="shared" si="0"/>
        <v/>
      </c>
      <c r="L4" s="27" t="str">
        <f t="shared" si="1"/>
        <v/>
      </c>
      <c r="M4" s="28" t="str">
        <f t="shared" ref="M4:M34" si="5">IF(F4="","",MAX(1,CEILING(K4/(R4/3),1)))</f>
        <v/>
      </c>
      <c r="N4" s="22"/>
      <c r="O4" s="23"/>
      <c r="P4" s="26" t="str">
        <f t="shared" si="2"/>
        <v/>
      </c>
      <c r="Q4" s="29" t="str">
        <f t="shared" si="3"/>
        <v/>
      </c>
      <c r="R4" s="25"/>
      <c r="S4" s="26" t="str">
        <f t="shared" si="4"/>
        <v/>
      </c>
      <c r="T4" s="26" t="str">
        <f>IF(P4="","",SUM(P$3:P4))</f>
        <v/>
      </c>
      <c r="U4" s="30"/>
    </row>
    <row r="5" spans="1:21" ht="18" customHeight="1" x14ac:dyDescent="0.2">
      <c r="A5" s="20">
        <v>3</v>
      </c>
      <c r="B5" s="21"/>
      <c r="C5" s="21"/>
      <c r="D5" s="22"/>
      <c r="E5" s="22"/>
      <c r="F5" s="23"/>
      <c r="G5" s="23"/>
      <c r="H5" s="23"/>
      <c r="I5" s="24"/>
      <c r="J5" s="25"/>
      <c r="K5" s="26" t="str">
        <f t="shared" si="0"/>
        <v/>
      </c>
      <c r="L5" s="27" t="str">
        <f t="shared" si="1"/>
        <v/>
      </c>
      <c r="M5" s="28" t="str">
        <f t="shared" si="5"/>
        <v/>
      </c>
      <c r="N5" s="22"/>
      <c r="O5" s="23"/>
      <c r="P5" s="26" t="str">
        <f t="shared" si="2"/>
        <v/>
      </c>
      <c r="Q5" s="29" t="str">
        <f t="shared" si="3"/>
        <v/>
      </c>
      <c r="R5" s="25"/>
      <c r="S5" s="26" t="str">
        <f t="shared" si="4"/>
        <v/>
      </c>
      <c r="T5" s="26" t="str">
        <f>IF(P5="","",SUM(P$3:P5))</f>
        <v/>
      </c>
      <c r="U5" s="30"/>
    </row>
    <row r="6" spans="1:21" ht="18" customHeight="1" x14ac:dyDescent="0.2">
      <c r="A6" s="20">
        <v>4</v>
      </c>
      <c r="B6" s="21"/>
      <c r="C6" s="21"/>
      <c r="D6" s="22"/>
      <c r="E6" s="22"/>
      <c r="F6" s="23"/>
      <c r="G6" s="23"/>
      <c r="H6" s="23"/>
      <c r="I6" s="24"/>
      <c r="J6" s="25"/>
      <c r="K6" s="26" t="str">
        <f t="shared" si="0"/>
        <v/>
      </c>
      <c r="L6" s="27" t="str">
        <f t="shared" si="1"/>
        <v/>
      </c>
      <c r="M6" s="28" t="str">
        <f t="shared" si="5"/>
        <v/>
      </c>
      <c r="N6" s="22"/>
      <c r="O6" s="23"/>
      <c r="P6" s="26" t="str">
        <f t="shared" si="2"/>
        <v/>
      </c>
      <c r="Q6" s="29" t="str">
        <f t="shared" si="3"/>
        <v/>
      </c>
      <c r="R6" s="25"/>
      <c r="S6" s="26" t="str">
        <f t="shared" si="4"/>
        <v/>
      </c>
      <c r="T6" s="26" t="str">
        <f>IF(P6="","",SUM(P$3:P6))</f>
        <v/>
      </c>
      <c r="U6" s="30"/>
    </row>
    <row r="7" spans="1:21" ht="18" customHeight="1" x14ac:dyDescent="0.2">
      <c r="A7" s="20">
        <v>5</v>
      </c>
      <c r="B7" s="21"/>
      <c r="C7" s="21"/>
      <c r="D7" s="22"/>
      <c r="E7" s="22"/>
      <c r="F7" s="23"/>
      <c r="G7" s="23"/>
      <c r="H7" s="23"/>
      <c r="I7" s="24"/>
      <c r="J7" s="25"/>
      <c r="K7" s="26" t="str">
        <f t="shared" si="0"/>
        <v/>
      </c>
      <c r="L7" s="27" t="str">
        <f t="shared" si="1"/>
        <v/>
      </c>
      <c r="M7" s="28" t="str">
        <f t="shared" si="5"/>
        <v/>
      </c>
      <c r="N7" s="22"/>
      <c r="O7" s="23"/>
      <c r="P7" s="26" t="str">
        <f t="shared" si="2"/>
        <v/>
      </c>
      <c r="Q7" s="29" t="str">
        <f t="shared" si="3"/>
        <v/>
      </c>
      <c r="R7" s="25"/>
      <c r="S7" s="26" t="str">
        <f t="shared" si="4"/>
        <v/>
      </c>
      <c r="T7" s="26" t="str">
        <f>IF(P7="","",SUM(P$3:P7))</f>
        <v/>
      </c>
      <c r="U7" s="30"/>
    </row>
    <row r="8" spans="1:21" ht="18" customHeight="1" x14ac:dyDescent="0.2">
      <c r="A8" s="20">
        <v>6</v>
      </c>
      <c r="B8" s="21"/>
      <c r="C8" s="21"/>
      <c r="D8" s="22"/>
      <c r="E8" s="22"/>
      <c r="F8" s="23"/>
      <c r="G8" s="23"/>
      <c r="H8" s="23"/>
      <c r="I8" s="24"/>
      <c r="J8" s="25"/>
      <c r="K8" s="26" t="str">
        <f t="shared" si="0"/>
        <v/>
      </c>
      <c r="L8" s="27" t="str">
        <f t="shared" si="1"/>
        <v/>
      </c>
      <c r="M8" s="28" t="str">
        <f t="shared" si="5"/>
        <v/>
      </c>
      <c r="N8" s="22"/>
      <c r="O8" s="23"/>
      <c r="P8" s="26" t="str">
        <f t="shared" si="2"/>
        <v/>
      </c>
      <c r="Q8" s="29" t="str">
        <f t="shared" si="3"/>
        <v/>
      </c>
      <c r="R8" s="25"/>
      <c r="S8" s="26" t="str">
        <f t="shared" si="4"/>
        <v/>
      </c>
      <c r="T8" s="26" t="str">
        <f>IF(P8="","",SUM(P$3:P8))</f>
        <v/>
      </c>
      <c r="U8" s="30"/>
    </row>
    <row r="9" spans="1:21" ht="18" customHeight="1" x14ac:dyDescent="0.2">
      <c r="A9" s="20">
        <v>7</v>
      </c>
      <c r="B9" s="21"/>
      <c r="C9" s="21"/>
      <c r="D9" s="22"/>
      <c r="E9" s="22"/>
      <c r="F9" s="23"/>
      <c r="G9" s="23"/>
      <c r="H9" s="23"/>
      <c r="I9" s="24"/>
      <c r="J9" s="25"/>
      <c r="K9" s="26" t="str">
        <f t="shared" si="0"/>
        <v/>
      </c>
      <c r="L9" s="27" t="str">
        <f t="shared" si="1"/>
        <v/>
      </c>
      <c r="M9" s="28" t="str">
        <f t="shared" si="5"/>
        <v/>
      </c>
      <c r="N9" s="22"/>
      <c r="O9" s="23"/>
      <c r="P9" s="26" t="str">
        <f t="shared" si="2"/>
        <v/>
      </c>
      <c r="Q9" s="29" t="str">
        <f t="shared" si="3"/>
        <v/>
      </c>
      <c r="R9" s="25"/>
      <c r="S9" s="26" t="str">
        <f t="shared" si="4"/>
        <v/>
      </c>
      <c r="T9" s="26" t="str">
        <f>IF(P9="","",SUM(P$3:P9))</f>
        <v/>
      </c>
      <c r="U9" s="30"/>
    </row>
    <row r="10" spans="1:21" ht="18" customHeight="1" x14ac:dyDescent="0.2">
      <c r="A10" s="20">
        <v>8</v>
      </c>
      <c r="B10" s="21"/>
      <c r="C10" s="21"/>
      <c r="D10" s="22"/>
      <c r="E10" s="22"/>
      <c r="F10" s="23"/>
      <c r="G10" s="23"/>
      <c r="H10" s="23"/>
      <c r="I10" s="24"/>
      <c r="J10" s="25"/>
      <c r="K10" s="26" t="str">
        <f t="shared" si="0"/>
        <v/>
      </c>
      <c r="L10" s="27" t="str">
        <f t="shared" si="1"/>
        <v/>
      </c>
      <c r="M10" s="28" t="str">
        <f t="shared" si="5"/>
        <v/>
      </c>
      <c r="N10" s="22"/>
      <c r="O10" s="23"/>
      <c r="P10" s="26" t="str">
        <f t="shared" si="2"/>
        <v/>
      </c>
      <c r="Q10" s="29" t="str">
        <f t="shared" si="3"/>
        <v/>
      </c>
      <c r="R10" s="25"/>
      <c r="S10" s="26" t="str">
        <f t="shared" si="4"/>
        <v/>
      </c>
      <c r="T10" s="26" t="str">
        <f>IF(P10="","",SUM(P$3:P10))</f>
        <v/>
      </c>
      <c r="U10" s="30"/>
    </row>
    <row r="11" spans="1:21" ht="18" customHeight="1" x14ac:dyDescent="0.2">
      <c r="A11" s="20">
        <v>9</v>
      </c>
      <c r="B11" s="21"/>
      <c r="C11" s="21"/>
      <c r="D11" s="22"/>
      <c r="E11" s="22"/>
      <c r="F11" s="23"/>
      <c r="G11" s="23"/>
      <c r="H11" s="23"/>
      <c r="I11" s="24"/>
      <c r="J11" s="25"/>
      <c r="K11" s="26" t="str">
        <f t="shared" si="0"/>
        <v/>
      </c>
      <c r="L11" s="27" t="str">
        <f t="shared" si="1"/>
        <v/>
      </c>
      <c r="M11" s="28" t="str">
        <f t="shared" si="5"/>
        <v/>
      </c>
      <c r="N11" s="22"/>
      <c r="O11" s="23"/>
      <c r="P11" s="26" t="str">
        <f t="shared" si="2"/>
        <v/>
      </c>
      <c r="Q11" s="29" t="str">
        <f t="shared" si="3"/>
        <v/>
      </c>
      <c r="R11" s="25"/>
      <c r="S11" s="26" t="str">
        <f t="shared" si="4"/>
        <v/>
      </c>
      <c r="T11" s="26" t="str">
        <f>IF(P11="","",SUM(P$3:P11))</f>
        <v/>
      </c>
      <c r="U11" s="30"/>
    </row>
    <row r="12" spans="1:21" ht="18" customHeight="1" x14ac:dyDescent="0.2">
      <c r="A12" s="20">
        <v>10</v>
      </c>
      <c r="B12" s="21"/>
      <c r="C12" s="21"/>
      <c r="D12" s="22"/>
      <c r="E12" s="22"/>
      <c r="F12" s="23"/>
      <c r="G12" s="23"/>
      <c r="H12" s="23"/>
      <c r="I12" s="24"/>
      <c r="J12" s="25"/>
      <c r="K12" s="26" t="str">
        <f t="shared" si="0"/>
        <v/>
      </c>
      <c r="L12" s="27" t="str">
        <f t="shared" si="1"/>
        <v/>
      </c>
      <c r="M12" s="28" t="str">
        <f t="shared" si="5"/>
        <v/>
      </c>
      <c r="N12" s="22"/>
      <c r="O12" s="23"/>
      <c r="P12" s="26" t="str">
        <f t="shared" si="2"/>
        <v/>
      </c>
      <c r="Q12" s="29" t="str">
        <f t="shared" si="3"/>
        <v/>
      </c>
      <c r="R12" s="25"/>
      <c r="S12" s="26" t="str">
        <f t="shared" si="4"/>
        <v/>
      </c>
      <c r="T12" s="26" t="str">
        <f>IF(P12="","",SUM(P$3:P12))</f>
        <v/>
      </c>
      <c r="U12" s="30"/>
    </row>
    <row r="13" spans="1:21" ht="18" customHeight="1" x14ac:dyDescent="0.2">
      <c r="A13" s="20">
        <v>11</v>
      </c>
      <c r="B13" s="21"/>
      <c r="C13" s="21"/>
      <c r="D13" s="22"/>
      <c r="E13" s="22"/>
      <c r="F13" s="23"/>
      <c r="G13" s="23"/>
      <c r="H13" s="23"/>
      <c r="I13" s="24"/>
      <c r="J13" s="25"/>
      <c r="K13" s="26" t="str">
        <f t="shared" si="0"/>
        <v/>
      </c>
      <c r="L13" s="27" t="str">
        <f t="shared" si="1"/>
        <v/>
      </c>
      <c r="M13" s="28" t="str">
        <f t="shared" si="5"/>
        <v/>
      </c>
      <c r="N13" s="22"/>
      <c r="O13" s="23"/>
      <c r="P13" s="26" t="str">
        <f t="shared" si="2"/>
        <v/>
      </c>
      <c r="Q13" s="29" t="str">
        <f t="shared" si="3"/>
        <v/>
      </c>
      <c r="R13" s="25"/>
      <c r="S13" s="26" t="str">
        <f t="shared" si="4"/>
        <v/>
      </c>
      <c r="T13" s="26" t="str">
        <f>IF(P13="","",SUM(P$3:P13))</f>
        <v/>
      </c>
      <c r="U13" s="30"/>
    </row>
    <row r="14" spans="1:21" ht="18" customHeight="1" x14ac:dyDescent="0.2">
      <c r="A14" s="20">
        <v>12</v>
      </c>
      <c r="B14" s="21"/>
      <c r="C14" s="21"/>
      <c r="D14" s="22"/>
      <c r="E14" s="22"/>
      <c r="F14" s="23"/>
      <c r="G14" s="23"/>
      <c r="H14" s="23"/>
      <c r="I14" s="24"/>
      <c r="J14" s="25"/>
      <c r="K14" s="26" t="str">
        <f t="shared" si="0"/>
        <v/>
      </c>
      <c r="L14" s="27" t="str">
        <f t="shared" si="1"/>
        <v/>
      </c>
      <c r="M14" s="28" t="str">
        <f t="shared" si="5"/>
        <v/>
      </c>
      <c r="N14" s="22"/>
      <c r="O14" s="23"/>
      <c r="P14" s="26" t="str">
        <f t="shared" si="2"/>
        <v/>
      </c>
      <c r="Q14" s="29" t="str">
        <f t="shared" si="3"/>
        <v/>
      </c>
      <c r="R14" s="25"/>
      <c r="S14" s="26" t="str">
        <f t="shared" si="4"/>
        <v/>
      </c>
      <c r="T14" s="26" t="str">
        <f>IF(P14="","",SUM(P$3:P14))</f>
        <v/>
      </c>
      <c r="U14" s="30"/>
    </row>
    <row r="15" spans="1:21" ht="18" customHeight="1" x14ac:dyDescent="0.2">
      <c r="A15" s="20">
        <v>13</v>
      </c>
      <c r="B15" s="21"/>
      <c r="C15" s="21"/>
      <c r="D15" s="22"/>
      <c r="E15" s="22"/>
      <c r="F15" s="23"/>
      <c r="G15" s="23"/>
      <c r="H15" s="23"/>
      <c r="I15" s="24"/>
      <c r="J15" s="25"/>
      <c r="K15" s="26" t="str">
        <f t="shared" si="0"/>
        <v/>
      </c>
      <c r="L15" s="27" t="str">
        <f t="shared" si="1"/>
        <v/>
      </c>
      <c r="M15" s="28" t="str">
        <f t="shared" si="5"/>
        <v/>
      </c>
      <c r="N15" s="22"/>
      <c r="O15" s="23"/>
      <c r="P15" s="26" t="str">
        <f t="shared" si="2"/>
        <v/>
      </c>
      <c r="Q15" s="29" t="str">
        <f t="shared" si="3"/>
        <v/>
      </c>
      <c r="R15" s="25"/>
      <c r="S15" s="26" t="str">
        <f t="shared" si="4"/>
        <v/>
      </c>
      <c r="T15" s="26" t="str">
        <f>IF(P15="","",SUM(P$3:P15))</f>
        <v/>
      </c>
      <c r="U15" s="30"/>
    </row>
    <row r="16" spans="1:21" ht="18" customHeight="1" x14ac:dyDescent="0.2">
      <c r="A16" s="20">
        <v>14</v>
      </c>
      <c r="B16" s="21"/>
      <c r="C16" s="21"/>
      <c r="D16" s="22"/>
      <c r="E16" s="22"/>
      <c r="F16" s="23"/>
      <c r="G16" s="23"/>
      <c r="H16" s="23"/>
      <c r="I16" s="24"/>
      <c r="J16" s="25"/>
      <c r="K16" s="26" t="str">
        <f t="shared" si="0"/>
        <v/>
      </c>
      <c r="L16" s="27" t="str">
        <f t="shared" si="1"/>
        <v/>
      </c>
      <c r="M16" s="28" t="str">
        <f t="shared" si="5"/>
        <v/>
      </c>
      <c r="N16" s="22"/>
      <c r="O16" s="23"/>
      <c r="P16" s="26" t="str">
        <f t="shared" si="2"/>
        <v/>
      </c>
      <c r="Q16" s="29" t="str">
        <f t="shared" si="3"/>
        <v/>
      </c>
      <c r="R16" s="25"/>
      <c r="S16" s="26" t="str">
        <f t="shared" si="4"/>
        <v/>
      </c>
      <c r="T16" s="26" t="str">
        <f>IF(P16="","",SUM(P$3:P16))</f>
        <v/>
      </c>
      <c r="U16" s="30"/>
    </row>
    <row r="17" spans="1:21" ht="18" customHeight="1" x14ac:dyDescent="0.2">
      <c r="A17" s="20">
        <v>15</v>
      </c>
      <c r="B17" s="21"/>
      <c r="C17" s="21"/>
      <c r="D17" s="22"/>
      <c r="E17" s="22"/>
      <c r="F17" s="23"/>
      <c r="G17" s="23"/>
      <c r="H17" s="23"/>
      <c r="I17" s="24"/>
      <c r="J17" s="25"/>
      <c r="K17" s="26" t="str">
        <f t="shared" si="0"/>
        <v/>
      </c>
      <c r="L17" s="27" t="str">
        <f t="shared" si="1"/>
        <v/>
      </c>
      <c r="M17" s="28" t="str">
        <f t="shared" si="5"/>
        <v/>
      </c>
      <c r="N17" s="22"/>
      <c r="O17" s="23"/>
      <c r="P17" s="26" t="str">
        <f t="shared" si="2"/>
        <v/>
      </c>
      <c r="Q17" s="29" t="str">
        <f t="shared" si="3"/>
        <v/>
      </c>
      <c r="R17" s="25"/>
      <c r="S17" s="26" t="str">
        <f t="shared" si="4"/>
        <v/>
      </c>
      <c r="T17" s="26" t="str">
        <f>IF(P17="","",SUM(P$3:P17))</f>
        <v/>
      </c>
      <c r="U17" s="30"/>
    </row>
    <row r="18" spans="1:21" ht="18" customHeight="1" x14ac:dyDescent="0.2">
      <c r="A18" s="20">
        <v>16</v>
      </c>
      <c r="B18" s="21"/>
      <c r="C18" s="21"/>
      <c r="D18" s="22"/>
      <c r="E18" s="22"/>
      <c r="F18" s="23"/>
      <c r="G18" s="23"/>
      <c r="H18" s="23"/>
      <c r="I18" s="24"/>
      <c r="J18" s="25"/>
      <c r="K18" s="26" t="str">
        <f t="shared" si="0"/>
        <v/>
      </c>
      <c r="L18" s="27" t="str">
        <f t="shared" si="1"/>
        <v/>
      </c>
      <c r="M18" s="28" t="str">
        <f t="shared" si="5"/>
        <v/>
      </c>
      <c r="N18" s="22"/>
      <c r="O18" s="23"/>
      <c r="P18" s="26" t="str">
        <f t="shared" si="2"/>
        <v/>
      </c>
      <c r="Q18" s="29" t="str">
        <f t="shared" si="3"/>
        <v/>
      </c>
      <c r="R18" s="25"/>
      <c r="S18" s="26" t="str">
        <f t="shared" si="4"/>
        <v/>
      </c>
      <c r="T18" s="26" t="str">
        <f>IF(P18="","",SUM(P$3:P18))</f>
        <v/>
      </c>
      <c r="U18" s="30"/>
    </row>
    <row r="19" spans="1:21" ht="18" customHeight="1" x14ac:dyDescent="0.2">
      <c r="A19" s="20">
        <v>17</v>
      </c>
      <c r="B19" s="21"/>
      <c r="C19" s="21"/>
      <c r="D19" s="22"/>
      <c r="E19" s="22"/>
      <c r="F19" s="23"/>
      <c r="G19" s="23"/>
      <c r="H19" s="23"/>
      <c r="I19" s="24"/>
      <c r="J19" s="25"/>
      <c r="K19" s="26" t="str">
        <f t="shared" si="0"/>
        <v/>
      </c>
      <c r="L19" s="27" t="str">
        <f t="shared" si="1"/>
        <v/>
      </c>
      <c r="M19" s="28" t="str">
        <f t="shared" si="5"/>
        <v/>
      </c>
      <c r="N19" s="22"/>
      <c r="O19" s="23"/>
      <c r="P19" s="26" t="str">
        <f t="shared" si="2"/>
        <v/>
      </c>
      <c r="Q19" s="29" t="str">
        <f t="shared" si="3"/>
        <v/>
      </c>
      <c r="R19" s="25"/>
      <c r="S19" s="26" t="str">
        <f t="shared" si="4"/>
        <v/>
      </c>
      <c r="T19" s="26" t="str">
        <f>IF(P19="","",SUM(P$3:P19))</f>
        <v/>
      </c>
      <c r="U19" s="30"/>
    </row>
    <row r="20" spans="1:21" ht="18" customHeight="1" x14ac:dyDescent="0.2">
      <c r="A20" s="20">
        <v>18</v>
      </c>
      <c r="B20" s="21"/>
      <c r="C20" s="21"/>
      <c r="D20" s="22"/>
      <c r="E20" s="22"/>
      <c r="F20" s="23"/>
      <c r="G20" s="23"/>
      <c r="H20" s="23"/>
      <c r="I20" s="24"/>
      <c r="J20" s="25"/>
      <c r="K20" s="26" t="str">
        <f t="shared" si="0"/>
        <v/>
      </c>
      <c r="L20" s="27" t="str">
        <f t="shared" si="1"/>
        <v/>
      </c>
      <c r="M20" s="28" t="str">
        <f t="shared" si="5"/>
        <v/>
      </c>
      <c r="N20" s="22"/>
      <c r="O20" s="23"/>
      <c r="P20" s="26" t="str">
        <f t="shared" si="2"/>
        <v/>
      </c>
      <c r="Q20" s="29" t="str">
        <f t="shared" si="3"/>
        <v/>
      </c>
      <c r="R20" s="25"/>
      <c r="S20" s="26" t="str">
        <f t="shared" si="4"/>
        <v/>
      </c>
      <c r="T20" s="26" t="str">
        <f>IF(P20="","",SUM(P$3:P20))</f>
        <v/>
      </c>
      <c r="U20" s="30"/>
    </row>
    <row r="21" spans="1:21" ht="18" customHeight="1" x14ac:dyDescent="0.2">
      <c r="A21" s="20">
        <v>19</v>
      </c>
      <c r="B21" s="21"/>
      <c r="C21" s="21"/>
      <c r="D21" s="22"/>
      <c r="E21" s="22"/>
      <c r="F21" s="23"/>
      <c r="G21" s="23"/>
      <c r="H21" s="23"/>
      <c r="I21" s="24"/>
      <c r="J21" s="25"/>
      <c r="K21" s="26" t="str">
        <f t="shared" si="0"/>
        <v/>
      </c>
      <c r="L21" s="27" t="str">
        <f t="shared" si="1"/>
        <v/>
      </c>
      <c r="M21" s="28" t="str">
        <f t="shared" si="5"/>
        <v/>
      </c>
      <c r="N21" s="22"/>
      <c r="O21" s="23"/>
      <c r="P21" s="26" t="str">
        <f t="shared" si="2"/>
        <v/>
      </c>
      <c r="Q21" s="29" t="str">
        <f t="shared" si="3"/>
        <v/>
      </c>
      <c r="R21" s="25"/>
      <c r="S21" s="26" t="str">
        <f t="shared" si="4"/>
        <v/>
      </c>
      <c r="T21" s="26" t="str">
        <f>IF(P21="","",SUM(P$3:P21))</f>
        <v/>
      </c>
      <c r="U21" s="30"/>
    </row>
    <row r="22" spans="1:21" ht="18" customHeight="1" x14ac:dyDescent="0.2">
      <c r="A22" s="20">
        <v>20</v>
      </c>
      <c r="B22" s="21"/>
      <c r="C22" s="21"/>
      <c r="D22" s="22"/>
      <c r="E22" s="22"/>
      <c r="F22" s="23"/>
      <c r="G22" s="23"/>
      <c r="H22" s="23"/>
      <c r="I22" s="24"/>
      <c r="J22" s="25"/>
      <c r="K22" s="26" t="str">
        <f t="shared" si="0"/>
        <v/>
      </c>
      <c r="L22" s="27" t="str">
        <f t="shared" si="1"/>
        <v/>
      </c>
      <c r="M22" s="28" t="str">
        <f t="shared" si="5"/>
        <v/>
      </c>
      <c r="N22" s="22"/>
      <c r="O22" s="23"/>
      <c r="P22" s="26" t="str">
        <f t="shared" si="2"/>
        <v/>
      </c>
      <c r="Q22" s="29" t="str">
        <f t="shared" si="3"/>
        <v/>
      </c>
      <c r="R22" s="25"/>
      <c r="S22" s="26" t="str">
        <f t="shared" si="4"/>
        <v/>
      </c>
      <c r="T22" s="26" t="str">
        <f>IF(P22="","",SUM(P$3:P22))</f>
        <v/>
      </c>
      <c r="U22" s="30"/>
    </row>
    <row r="23" spans="1:21" ht="18" customHeight="1" x14ac:dyDescent="0.2">
      <c r="A23" s="20">
        <v>21</v>
      </c>
      <c r="B23" s="21"/>
      <c r="C23" s="21"/>
      <c r="D23" s="22"/>
      <c r="E23" s="22"/>
      <c r="F23" s="23"/>
      <c r="G23" s="23"/>
      <c r="H23" s="23"/>
      <c r="I23" s="24"/>
      <c r="J23" s="25"/>
      <c r="K23" s="26" t="str">
        <f t="shared" si="0"/>
        <v/>
      </c>
      <c r="L23" s="27" t="str">
        <f t="shared" si="1"/>
        <v/>
      </c>
      <c r="M23" s="28" t="str">
        <f t="shared" si="5"/>
        <v/>
      </c>
      <c r="N23" s="22"/>
      <c r="O23" s="23"/>
      <c r="P23" s="26" t="str">
        <f t="shared" si="2"/>
        <v/>
      </c>
      <c r="Q23" s="29" t="str">
        <f t="shared" si="3"/>
        <v/>
      </c>
      <c r="R23" s="25"/>
      <c r="S23" s="26" t="str">
        <f t="shared" si="4"/>
        <v/>
      </c>
      <c r="T23" s="26" t="str">
        <f>IF(P23="","",SUM(P$3:P23))</f>
        <v/>
      </c>
      <c r="U23" s="30"/>
    </row>
    <row r="24" spans="1:21" ht="18" customHeight="1" x14ac:dyDescent="0.2">
      <c r="A24" s="20">
        <v>22</v>
      </c>
      <c r="B24" s="21"/>
      <c r="C24" s="21"/>
      <c r="D24" s="22"/>
      <c r="E24" s="22"/>
      <c r="F24" s="23"/>
      <c r="G24" s="23"/>
      <c r="H24" s="23"/>
      <c r="I24" s="24"/>
      <c r="J24" s="25"/>
      <c r="K24" s="26" t="str">
        <f t="shared" si="0"/>
        <v/>
      </c>
      <c r="L24" s="27" t="str">
        <f t="shared" si="1"/>
        <v/>
      </c>
      <c r="M24" s="28" t="str">
        <f t="shared" si="5"/>
        <v/>
      </c>
      <c r="N24" s="22"/>
      <c r="O24" s="23"/>
      <c r="P24" s="26" t="str">
        <f t="shared" si="2"/>
        <v/>
      </c>
      <c r="Q24" s="29" t="str">
        <f t="shared" si="3"/>
        <v/>
      </c>
      <c r="R24" s="25"/>
      <c r="S24" s="26" t="str">
        <f t="shared" si="4"/>
        <v/>
      </c>
      <c r="T24" s="26" t="str">
        <f>IF(P24="","",SUM(P$3:P24))</f>
        <v/>
      </c>
      <c r="U24" s="30"/>
    </row>
    <row r="25" spans="1:21" ht="18" customHeight="1" x14ac:dyDescent="0.2">
      <c r="A25" s="20">
        <v>23</v>
      </c>
      <c r="B25" s="21"/>
      <c r="C25" s="21"/>
      <c r="D25" s="22"/>
      <c r="E25" s="22"/>
      <c r="F25" s="23"/>
      <c r="G25" s="23"/>
      <c r="H25" s="23"/>
      <c r="I25" s="24"/>
      <c r="J25" s="25"/>
      <c r="K25" s="26" t="str">
        <f t="shared" si="0"/>
        <v/>
      </c>
      <c r="L25" s="27" t="str">
        <f t="shared" si="1"/>
        <v/>
      </c>
      <c r="M25" s="28" t="str">
        <f t="shared" si="5"/>
        <v/>
      </c>
      <c r="N25" s="22"/>
      <c r="O25" s="23"/>
      <c r="P25" s="26" t="str">
        <f t="shared" si="2"/>
        <v/>
      </c>
      <c r="Q25" s="29" t="str">
        <f t="shared" si="3"/>
        <v/>
      </c>
      <c r="R25" s="25"/>
      <c r="S25" s="26" t="str">
        <f t="shared" si="4"/>
        <v/>
      </c>
      <c r="T25" s="26" t="str">
        <f>IF(P25="","",SUM(P$3:P25))</f>
        <v/>
      </c>
      <c r="U25" s="30"/>
    </row>
    <row r="26" spans="1:21" ht="18" customHeight="1" x14ac:dyDescent="0.2">
      <c r="A26" s="20">
        <v>24</v>
      </c>
      <c r="B26" s="21"/>
      <c r="C26" s="21"/>
      <c r="D26" s="22"/>
      <c r="E26" s="22"/>
      <c r="F26" s="23"/>
      <c r="G26" s="23"/>
      <c r="H26" s="23"/>
      <c r="I26" s="24"/>
      <c r="J26" s="25"/>
      <c r="K26" s="26" t="str">
        <f t="shared" si="0"/>
        <v/>
      </c>
      <c r="L26" s="27" t="str">
        <f t="shared" si="1"/>
        <v/>
      </c>
      <c r="M26" s="28" t="str">
        <f t="shared" si="5"/>
        <v/>
      </c>
      <c r="N26" s="22"/>
      <c r="O26" s="23"/>
      <c r="P26" s="26" t="str">
        <f t="shared" si="2"/>
        <v/>
      </c>
      <c r="Q26" s="29" t="str">
        <f t="shared" si="3"/>
        <v/>
      </c>
      <c r="R26" s="25"/>
      <c r="S26" s="26" t="str">
        <f t="shared" si="4"/>
        <v/>
      </c>
      <c r="T26" s="26" t="str">
        <f>IF(P26="","",SUM(P$3:P26))</f>
        <v/>
      </c>
      <c r="U26" s="30"/>
    </row>
    <row r="27" spans="1:21" ht="18" customHeight="1" x14ac:dyDescent="0.2">
      <c r="A27" s="20">
        <v>25</v>
      </c>
      <c r="B27" s="21"/>
      <c r="C27" s="21"/>
      <c r="D27" s="22"/>
      <c r="E27" s="22"/>
      <c r="F27" s="23"/>
      <c r="G27" s="23"/>
      <c r="H27" s="23"/>
      <c r="I27" s="24"/>
      <c r="J27" s="25"/>
      <c r="K27" s="26" t="str">
        <f t="shared" si="0"/>
        <v/>
      </c>
      <c r="L27" s="27" t="str">
        <f t="shared" si="1"/>
        <v/>
      </c>
      <c r="M27" s="28" t="str">
        <f t="shared" si="5"/>
        <v/>
      </c>
      <c r="N27" s="22"/>
      <c r="O27" s="23"/>
      <c r="P27" s="26" t="str">
        <f t="shared" si="2"/>
        <v/>
      </c>
      <c r="Q27" s="29" t="str">
        <f t="shared" si="3"/>
        <v/>
      </c>
      <c r="R27" s="25"/>
      <c r="S27" s="26" t="str">
        <f t="shared" si="4"/>
        <v/>
      </c>
      <c r="T27" s="26" t="str">
        <f>IF(P27="","",SUM(P$3:P27))</f>
        <v/>
      </c>
      <c r="U27" s="30"/>
    </row>
    <row r="28" spans="1:21" ht="18" customHeight="1" x14ac:dyDescent="0.2">
      <c r="A28" s="20">
        <v>26</v>
      </c>
      <c r="B28" s="21"/>
      <c r="C28" s="21"/>
      <c r="D28" s="22"/>
      <c r="E28" s="22"/>
      <c r="F28" s="23"/>
      <c r="G28" s="23"/>
      <c r="H28" s="23"/>
      <c r="I28" s="24"/>
      <c r="J28" s="25"/>
      <c r="K28" s="26" t="str">
        <f t="shared" si="0"/>
        <v/>
      </c>
      <c r="L28" s="27" t="str">
        <f t="shared" si="1"/>
        <v/>
      </c>
      <c r="M28" s="28" t="str">
        <f t="shared" si="5"/>
        <v/>
      </c>
      <c r="N28" s="22"/>
      <c r="O28" s="23"/>
      <c r="P28" s="26" t="str">
        <f t="shared" si="2"/>
        <v/>
      </c>
      <c r="Q28" s="29" t="str">
        <f t="shared" si="3"/>
        <v/>
      </c>
      <c r="R28" s="25"/>
      <c r="S28" s="26" t="str">
        <f t="shared" si="4"/>
        <v/>
      </c>
      <c r="T28" s="26" t="str">
        <f>IF(P28="","",SUM(P$3:P28))</f>
        <v/>
      </c>
      <c r="U28" s="30"/>
    </row>
    <row r="29" spans="1:21" ht="18" customHeight="1" x14ac:dyDescent="0.2">
      <c r="A29" s="20">
        <v>27</v>
      </c>
      <c r="B29" s="21"/>
      <c r="C29" s="21"/>
      <c r="D29" s="22"/>
      <c r="E29" s="22"/>
      <c r="F29" s="23"/>
      <c r="G29" s="23"/>
      <c r="H29" s="23"/>
      <c r="I29" s="24"/>
      <c r="J29" s="25"/>
      <c r="K29" s="26" t="str">
        <f t="shared" si="0"/>
        <v/>
      </c>
      <c r="L29" s="27" t="str">
        <f t="shared" si="1"/>
        <v/>
      </c>
      <c r="M29" s="28" t="str">
        <f t="shared" si="5"/>
        <v/>
      </c>
      <c r="N29" s="22"/>
      <c r="O29" s="23"/>
      <c r="P29" s="26" t="str">
        <f t="shared" si="2"/>
        <v/>
      </c>
      <c r="Q29" s="29" t="str">
        <f t="shared" si="3"/>
        <v/>
      </c>
      <c r="R29" s="25"/>
      <c r="S29" s="26" t="str">
        <f t="shared" si="4"/>
        <v/>
      </c>
      <c r="T29" s="26" t="str">
        <f>IF(P29="","",SUM(P$3:P29))</f>
        <v/>
      </c>
      <c r="U29" s="30"/>
    </row>
    <row r="30" spans="1:21" ht="18" customHeight="1" x14ac:dyDescent="0.2">
      <c r="A30" s="20">
        <v>28</v>
      </c>
      <c r="B30" s="21"/>
      <c r="C30" s="21"/>
      <c r="D30" s="22"/>
      <c r="E30" s="22"/>
      <c r="F30" s="23"/>
      <c r="G30" s="23"/>
      <c r="H30" s="23"/>
      <c r="I30" s="24"/>
      <c r="J30" s="25"/>
      <c r="K30" s="26" t="str">
        <f t="shared" si="0"/>
        <v/>
      </c>
      <c r="L30" s="27" t="str">
        <f t="shared" si="1"/>
        <v/>
      </c>
      <c r="M30" s="28" t="str">
        <f t="shared" si="5"/>
        <v/>
      </c>
      <c r="N30" s="22"/>
      <c r="O30" s="23"/>
      <c r="P30" s="26" t="str">
        <f t="shared" si="2"/>
        <v/>
      </c>
      <c r="Q30" s="29" t="str">
        <f t="shared" si="3"/>
        <v/>
      </c>
      <c r="R30" s="25"/>
      <c r="S30" s="26" t="str">
        <f t="shared" si="4"/>
        <v/>
      </c>
      <c r="T30" s="26" t="str">
        <f>IF(P30="","",SUM(P$3:P30))</f>
        <v/>
      </c>
      <c r="U30" s="30"/>
    </row>
    <row r="31" spans="1:21" ht="18" customHeight="1" x14ac:dyDescent="0.2">
      <c r="A31" s="20">
        <v>29</v>
      </c>
      <c r="B31" s="21"/>
      <c r="C31" s="21"/>
      <c r="D31" s="22"/>
      <c r="E31" s="22"/>
      <c r="F31" s="23"/>
      <c r="G31" s="23"/>
      <c r="H31" s="23"/>
      <c r="I31" s="24"/>
      <c r="J31" s="25"/>
      <c r="K31" s="26" t="str">
        <f t="shared" si="0"/>
        <v/>
      </c>
      <c r="L31" s="27" t="str">
        <f t="shared" si="1"/>
        <v/>
      </c>
      <c r="M31" s="28" t="str">
        <f t="shared" si="5"/>
        <v/>
      </c>
      <c r="N31" s="22"/>
      <c r="O31" s="23"/>
      <c r="P31" s="26" t="str">
        <f t="shared" si="2"/>
        <v/>
      </c>
      <c r="Q31" s="29" t="str">
        <f t="shared" si="3"/>
        <v/>
      </c>
      <c r="R31" s="25"/>
      <c r="S31" s="26" t="str">
        <f t="shared" si="4"/>
        <v/>
      </c>
      <c r="T31" s="26" t="str">
        <f>IF(P31="","",SUM(P$3:P31))</f>
        <v/>
      </c>
      <c r="U31" s="30"/>
    </row>
    <row r="32" spans="1:21" ht="18" customHeight="1" x14ac:dyDescent="0.2">
      <c r="A32" s="20">
        <v>30</v>
      </c>
      <c r="B32" s="21"/>
      <c r="C32" s="21"/>
      <c r="D32" s="22"/>
      <c r="E32" s="22"/>
      <c r="F32" s="23"/>
      <c r="G32" s="23"/>
      <c r="H32" s="23"/>
      <c r="I32" s="24"/>
      <c r="J32" s="25"/>
      <c r="K32" s="26" t="str">
        <f t="shared" si="0"/>
        <v/>
      </c>
      <c r="L32" s="27" t="str">
        <f t="shared" si="1"/>
        <v/>
      </c>
      <c r="M32" s="28" t="str">
        <f t="shared" si="5"/>
        <v/>
      </c>
      <c r="N32" s="22"/>
      <c r="O32" s="23"/>
      <c r="P32" s="26" t="str">
        <f t="shared" si="2"/>
        <v/>
      </c>
      <c r="Q32" s="29" t="str">
        <f t="shared" si="3"/>
        <v/>
      </c>
      <c r="R32" s="25"/>
      <c r="S32" s="26" t="str">
        <f t="shared" si="4"/>
        <v/>
      </c>
      <c r="T32" s="26" t="str">
        <f>IF(P32="","",SUM(P$3:P32))</f>
        <v/>
      </c>
      <c r="U32" s="30"/>
    </row>
    <row r="33" spans="1:21" ht="18" customHeight="1" x14ac:dyDescent="0.2">
      <c r="A33" s="20">
        <v>31</v>
      </c>
      <c r="B33" s="21"/>
      <c r="C33" s="21"/>
      <c r="D33" s="22"/>
      <c r="E33" s="22"/>
      <c r="F33" s="23"/>
      <c r="G33" s="23"/>
      <c r="H33" s="23"/>
      <c r="I33" s="24"/>
      <c r="J33" s="25"/>
      <c r="K33" s="26" t="str">
        <f t="shared" si="0"/>
        <v/>
      </c>
      <c r="L33" s="27" t="str">
        <f t="shared" si="1"/>
        <v/>
      </c>
      <c r="M33" s="28" t="str">
        <f t="shared" si="5"/>
        <v/>
      </c>
      <c r="N33" s="22"/>
      <c r="O33" s="23"/>
      <c r="P33" s="26" t="str">
        <f t="shared" si="2"/>
        <v/>
      </c>
      <c r="Q33" s="29" t="str">
        <f t="shared" si="3"/>
        <v/>
      </c>
      <c r="R33" s="25"/>
      <c r="S33" s="26" t="str">
        <f t="shared" si="4"/>
        <v/>
      </c>
      <c r="T33" s="26" t="str">
        <f>IF(P33="","",SUM(P$3:P33))</f>
        <v/>
      </c>
      <c r="U33" s="30"/>
    </row>
    <row r="34" spans="1:21" ht="18" customHeight="1" x14ac:dyDescent="0.2">
      <c r="A34" s="20">
        <v>32</v>
      </c>
      <c r="B34" s="21"/>
      <c r="C34" s="21"/>
      <c r="D34" s="22"/>
      <c r="E34" s="22"/>
      <c r="F34" s="23"/>
      <c r="G34" s="23"/>
      <c r="H34" s="23"/>
      <c r="I34" s="24"/>
      <c r="J34" s="25"/>
      <c r="K34" s="26" t="str">
        <f t="shared" si="0"/>
        <v/>
      </c>
      <c r="L34" s="27" t="str">
        <f t="shared" si="1"/>
        <v/>
      </c>
      <c r="M34" s="28" t="str">
        <f t="shared" si="5"/>
        <v/>
      </c>
      <c r="N34" s="22"/>
      <c r="O34" s="23"/>
      <c r="P34" s="26" t="str">
        <f t="shared" si="2"/>
        <v/>
      </c>
      <c r="Q34" s="29" t="str">
        <f t="shared" si="3"/>
        <v/>
      </c>
      <c r="R34" s="25"/>
      <c r="S34" s="26" t="str">
        <f t="shared" si="4"/>
        <v/>
      </c>
      <c r="T34" s="26" t="str">
        <f>IF(P34="","",SUM(P$3:P34))</f>
        <v/>
      </c>
      <c r="U34" s="30"/>
    </row>
    <row r="35" spans="1:21" ht="18" customHeight="1" x14ac:dyDescent="0.2">
      <c r="A35" s="20">
        <v>33</v>
      </c>
      <c r="B35" s="21"/>
      <c r="C35" s="21"/>
      <c r="D35" s="22"/>
      <c r="E35" s="22"/>
      <c r="F35" s="23"/>
      <c r="G35" s="23"/>
      <c r="H35" s="23"/>
      <c r="I35" s="24"/>
      <c r="J35" s="25"/>
      <c r="K35" s="26" t="str">
        <f t="shared" ref="K35:K66" si="6">IF(F35="","",J35/ABS(F35-G35)*F35)</f>
        <v/>
      </c>
      <c r="L35" s="27" t="str">
        <f t="shared" ref="L35:L66" si="7">IF(F35="","",K35/F35)</f>
        <v/>
      </c>
      <c r="M35" s="28" t="str">
        <f t="shared" ref="M35:M66" si="8">IF(F35="","",MAX(1,CEILING(K35/(R35/3),1)))</f>
        <v/>
      </c>
      <c r="N35" s="22"/>
      <c r="O35" s="23"/>
      <c r="P35" s="26" t="str">
        <f t="shared" ref="P35:P66" si="9">IF(OR(F35="",O35=""),"",IF(E35="Long",(O35-F35)*L35,(F35-O35)*L35))</f>
        <v/>
      </c>
      <c r="Q35" s="29" t="str">
        <f t="shared" ref="Q35:Q66" si="10">IF(OR(J35="",J35=0,P35=""),"",P35/J35)</f>
        <v/>
      </c>
      <c r="R35" s="25"/>
      <c r="S35" s="26" t="str">
        <f t="shared" ref="S35:S66" si="11">IF(OR(R35="",P35=""),"",R35+P35)</f>
        <v/>
      </c>
      <c r="T35" s="26" t="str">
        <f>IF(P35="","",SUM(P$3:P35))</f>
        <v/>
      </c>
      <c r="U35" s="30"/>
    </row>
    <row r="36" spans="1:21" ht="18" customHeight="1" x14ac:dyDescent="0.2">
      <c r="A36" s="20">
        <v>34</v>
      </c>
      <c r="B36" s="21"/>
      <c r="C36" s="21"/>
      <c r="D36" s="22"/>
      <c r="E36" s="22"/>
      <c r="F36" s="23"/>
      <c r="G36" s="23"/>
      <c r="H36" s="23"/>
      <c r="I36" s="24"/>
      <c r="J36" s="25"/>
      <c r="K36" s="26" t="str">
        <f t="shared" si="6"/>
        <v/>
      </c>
      <c r="L36" s="27" t="str">
        <f t="shared" si="7"/>
        <v/>
      </c>
      <c r="M36" s="28" t="str">
        <f t="shared" si="8"/>
        <v/>
      </c>
      <c r="N36" s="22"/>
      <c r="O36" s="23"/>
      <c r="P36" s="26" t="str">
        <f t="shared" si="9"/>
        <v/>
      </c>
      <c r="Q36" s="29" t="str">
        <f t="shared" si="10"/>
        <v/>
      </c>
      <c r="R36" s="25"/>
      <c r="S36" s="26" t="str">
        <f t="shared" si="11"/>
        <v/>
      </c>
      <c r="T36" s="26" t="str">
        <f>IF(P36="","",SUM(P$3:P36))</f>
        <v/>
      </c>
      <c r="U36" s="30"/>
    </row>
    <row r="37" spans="1:21" ht="18" customHeight="1" x14ac:dyDescent="0.2">
      <c r="A37" s="20">
        <v>35</v>
      </c>
      <c r="B37" s="21"/>
      <c r="C37" s="21"/>
      <c r="D37" s="22"/>
      <c r="E37" s="22"/>
      <c r="F37" s="23"/>
      <c r="G37" s="23"/>
      <c r="H37" s="23"/>
      <c r="I37" s="24"/>
      <c r="J37" s="25"/>
      <c r="K37" s="26" t="str">
        <f t="shared" si="6"/>
        <v/>
      </c>
      <c r="L37" s="27" t="str">
        <f t="shared" si="7"/>
        <v/>
      </c>
      <c r="M37" s="28" t="str">
        <f t="shared" si="8"/>
        <v/>
      </c>
      <c r="N37" s="22"/>
      <c r="O37" s="23"/>
      <c r="P37" s="26" t="str">
        <f t="shared" si="9"/>
        <v/>
      </c>
      <c r="Q37" s="29" t="str">
        <f t="shared" si="10"/>
        <v/>
      </c>
      <c r="R37" s="25"/>
      <c r="S37" s="26" t="str">
        <f t="shared" si="11"/>
        <v/>
      </c>
      <c r="T37" s="26" t="str">
        <f>IF(P37="","",SUM(P$3:P37))</f>
        <v/>
      </c>
      <c r="U37" s="30"/>
    </row>
    <row r="38" spans="1:21" ht="18" customHeight="1" x14ac:dyDescent="0.2">
      <c r="A38" s="20">
        <v>36</v>
      </c>
      <c r="B38" s="21"/>
      <c r="C38" s="21"/>
      <c r="D38" s="22"/>
      <c r="E38" s="22"/>
      <c r="F38" s="23"/>
      <c r="G38" s="23"/>
      <c r="H38" s="23"/>
      <c r="I38" s="24"/>
      <c r="J38" s="25"/>
      <c r="K38" s="26" t="str">
        <f t="shared" si="6"/>
        <v/>
      </c>
      <c r="L38" s="27" t="str">
        <f t="shared" si="7"/>
        <v/>
      </c>
      <c r="M38" s="28" t="str">
        <f t="shared" si="8"/>
        <v/>
      </c>
      <c r="N38" s="22"/>
      <c r="O38" s="23"/>
      <c r="P38" s="26" t="str">
        <f t="shared" si="9"/>
        <v/>
      </c>
      <c r="Q38" s="29" t="str">
        <f t="shared" si="10"/>
        <v/>
      </c>
      <c r="R38" s="25"/>
      <c r="S38" s="26" t="str">
        <f t="shared" si="11"/>
        <v/>
      </c>
      <c r="T38" s="26" t="str">
        <f>IF(P38="","",SUM(P$3:P38))</f>
        <v/>
      </c>
      <c r="U38" s="30"/>
    </row>
    <row r="39" spans="1:21" ht="18" customHeight="1" x14ac:dyDescent="0.2">
      <c r="A39" s="20">
        <v>37</v>
      </c>
      <c r="B39" s="21"/>
      <c r="C39" s="21"/>
      <c r="D39" s="22"/>
      <c r="E39" s="22"/>
      <c r="F39" s="23"/>
      <c r="G39" s="23"/>
      <c r="H39" s="23"/>
      <c r="I39" s="24"/>
      <c r="J39" s="25"/>
      <c r="K39" s="26" t="str">
        <f t="shared" si="6"/>
        <v/>
      </c>
      <c r="L39" s="27" t="str">
        <f t="shared" si="7"/>
        <v/>
      </c>
      <c r="M39" s="28" t="str">
        <f t="shared" si="8"/>
        <v/>
      </c>
      <c r="N39" s="22"/>
      <c r="O39" s="23"/>
      <c r="P39" s="26" t="str">
        <f t="shared" si="9"/>
        <v/>
      </c>
      <c r="Q39" s="29" t="str">
        <f t="shared" si="10"/>
        <v/>
      </c>
      <c r="R39" s="25"/>
      <c r="S39" s="26" t="str">
        <f t="shared" si="11"/>
        <v/>
      </c>
      <c r="T39" s="26" t="str">
        <f>IF(P39="","",SUM(P$3:P39))</f>
        <v/>
      </c>
      <c r="U39" s="30"/>
    </row>
    <row r="40" spans="1:21" ht="18" customHeight="1" x14ac:dyDescent="0.2">
      <c r="A40" s="20">
        <v>38</v>
      </c>
      <c r="B40" s="21"/>
      <c r="C40" s="21"/>
      <c r="D40" s="22"/>
      <c r="E40" s="22"/>
      <c r="F40" s="23"/>
      <c r="G40" s="23"/>
      <c r="H40" s="23"/>
      <c r="I40" s="24"/>
      <c r="J40" s="25"/>
      <c r="K40" s="26" t="str">
        <f t="shared" si="6"/>
        <v/>
      </c>
      <c r="L40" s="27" t="str">
        <f t="shared" si="7"/>
        <v/>
      </c>
      <c r="M40" s="28" t="str">
        <f t="shared" si="8"/>
        <v/>
      </c>
      <c r="N40" s="22"/>
      <c r="O40" s="23"/>
      <c r="P40" s="26" t="str">
        <f t="shared" si="9"/>
        <v/>
      </c>
      <c r="Q40" s="29" t="str">
        <f t="shared" si="10"/>
        <v/>
      </c>
      <c r="R40" s="25"/>
      <c r="S40" s="26" t="str">
        <f t="shared" si="11"/>
        <v/>
      </c>
      <c r="T40" s="26" t="str">
        <f>IF(P40="","",SUM(P$3:P40))</f>
        <v/>
      </c>
      <c r="U40" s="30"/>
    </row>
    <row r="41" spans="1:21" ht="18" customHeight="1" x14ac:dyDescent="0.2">
      <c r="A41" s="20">
        <v>39</v>
      </c>
      <c r="B41" s="21"/>
      <c r="C41" s="21"/>
      <c r="D41" s="22"/>
      <c r="E41" s="22"/>
      <c r="F41" s="23"/>
      <c r="G41" s="23"/>
      <c r="H41" s="23"/>
      <c r="I41" s="24"/>
      <c r="J41" s="25"/>
      <c r="K41" s="26" t="str">
        <f t="shared" si="6"/>
        <v/>
      </c>
      <c r="L41" s="27" t="str">
        <f t="shared" si="7"/>
        <v/>
      </c>
      <c r="M41" s="28" t="str">
        <f t="shared" si="8"/>
        <v/>
      </c>
      <c r="N41" s="22"/>
      <c r="O41" s="23"/>
      <c r="P41" s="26" t="str">
        <f t="shared" si="9"/>
        <v/>
      </c>
      <c r="Q41" s="29" t="str">
        <f t="shared" si="10"/>
        <v/>
      </c>
      <c r="R41" s="25"/>
      <c r="S41" s="26" t="str">
        <f t="shared" si="11"/>
        <v/>
      </c>
      <c r="T41" s="26" t="str">
        <f>IF(P41="","",SUM(P$3:P41))</f>
        <v/>
      </c>
      <c r="U41" s="30"/>
    </row>
    <row r="42" spans="1:21" ht="18" customHeight="1" x14ac:dyDescent="0.2">
      <c r="A42" s="20">
        <v>40</v>
      </c>
      <c r="B42" s="21"/>
      <c r="C42" s="21"/>
      <c r="D42" s="22"/>
      <c r="E42" s="22"/>
      <c r="F42" s="23"/>
      <c r="G42" s="23"/>
      <c r="H42" s="23"/>
      <c r="I42" s="24"/>
      <c r="J42" s="25"/>
      <c r="K42" s="26" t="str">
        <f t="shared" si="6"/>
        <v/>
      </c>
      <c r="L42" s="27" t="str">
        <f t="shared" si="7"/>
        <v/>
      </c>
      <c r="M42" s="28" t="str">
        <f t="shared" si="8"/>
        <v/>
      </c>
      <c r="N42" s="22"/>
      <c r="O42" s="23"/>
      <c r="P42" s="26" t="str">
        <f t="shared" si="9"/>
        <v/>
      </c>
      <c r="Q42" s="29" t="str">
        <f t="shared" si="10"/>
        <v/>
      </c>
      <c r="R42" s="25"/>
      <c r="S42" s="26" t="str">
        <f t="shared" si="11"/>
        <v/>
      </c>
      <c r="T42" s="26" t="str">
        <f>IF(P42="","",SUM(P$3:P42))</f>
        <v/>
      </c>
      <c r="U42" s="30"/>
    </row>
    <row r="43" spans="1:21" ht="18" customHeight="1" x14ac:dyDescent="0.2">
      <c r="A43" s="20">
        <v>41</v>
      </c>
      <c r="B43" s="21"/>
      <c r="C43" s="21"/>
      <c r="D43" s="22"/>
      <c r="E43" s="22"/>
      <c r="F43" s="23"/>
      <c r="G43" s="23"/>
      <c r="H43" s="23"/>
      <c r="I43" s="24"/>
      <c r="J43" s="25"/>
      <c r="K43" s="26" t="str">
        <f t="shared" si="6"/>
        <v/>
      </c>
      <c r="L43" s="27" t="str">
        <f t="shared" si="7"/>
        <v/>
      </c>
      <c r="M43" s="28" t="str">
        <f t="shared" si="8"/>
        <v/>
      </c>
      <c r="N43" s="22"/>
      <c r="O43" s="23"/>
      <c r="P43" s="26" t="str">
        <f t="shared" si="9"/>
        <v/>
      </c>
      <c r="Q43" s="29" t="str">
        <f t="shared" si="10"/>
        <v/>
      </c>
      <c r="R43" s="25"/>
      <c r="S43" s="26" t="str">
        <f t="shared" si="11"/>
        <v/>
      </c>
      <c r="T43" s="26" t="str">
        <f>IF(P43="","",SUM(P$3:P43))</f>
        <v/>
      </c>
      <c r="U43" s="30"/>
    </row>
    <row r="44" spans="1:21" ht="18" customHeight="1" x14ac:dyDescent="0.2">
      <c r="A44" s="20">
        <v>42</v>
      </c>
      <c r="B44" s="21"/>
      <c r="C44" s="21"/>
      <c r="D44" s="22"/>
      <c r="E44" s="22"/>
      <c r="F44" s="23"/>
      <c r="G44" s="23"/>
      <c r="H44" s="23"/>
      <c r="I44" s="24"/>
      <c r="J44" s="25"/>
      <c r="K44" s="26" t="str">
        <f t="shared" si="6"/>
        <v/>
      </c>
      <c r="L44" s="27" t="str">
        <f t="shared" si="7"/>
        <v/>
      </c>
      <c r="M44" s="28" t="str">
        <f t="shared" si="8"/>
        <v/>
      </c>
      <c r="N44" s="22"/>
      <c r="O44" s="23"/>
      <c r="P44" s="26" t="str">
        <f t="shared" si="9"/>
        <v/>
      </c>
      <c r="Q44" s="29" t="str">
        <f t="shared" si="10"/>
        <v/>
      </c>
      <c r="R44" s="25"/>
      <c r="S44" s="26" t="str">
        <f t="shared" si="11"/>
        <v/>
      </c>
      <c r="T44" s="26" t="str">
        <f>IF(P44="","",SUM(P$3:P44))</f>
        <v/>
      </c>
      <c r="U44" s="30"/>
    </row>
    <row r="45" spans="1:21" ht="18" customHeight="1" x14ac:dyDescent="0.2">
      <c r="A45" s="20">
        <v>43</v>
      </c>
      <c r="B45" s="21"/>
      <c r="C45" s="21"/>
      <c r="D45" s="22"/>
      <c r="E45" s="22"/>
      <c r="F45" s="23"/>
      <c r="G45" s="23"/>
      <c r="H45" s="23"/>
      <c r="I45" s="24"/>
      <c r="J45" s="25"/>
      <c r="K45" s="26" t="str">
        <f t="shared" si="6"/>
        <v/>
      </c>
      <c r="L45" s="27" t="str">
        <f t="shared" si="7"/>
        <v/>
      </c>
      <c r="M45" s="28" t="str">
        <f t="shared" si="8"/>
        <v/>
      </c>
      <c r="N45" s="22"/>
      <c r="O45" s="23"/>
      <c r="P45" s="26" t="str">
        <f t="shared" si="9"/>
        <v/>
      </c>
      <c r="Q45" s="29" t="str">
        <f t="shared" si="10"/>
        <v/>
      </c>
      <c r="R45" s="25"/>
      <c r="S45" s="26" t="str">
        <f t="shared" si="11"/>
        <v/>
      </c>
      <c r="T45" s="26" t="str">
        <f>IF(P45="","",SUM(P$3:P45))</f>
        <v/>
      </c>
      <c r="U45" s="30"/>
    </row>
    <row r="46" spans="1:21" ht="18" customHeight="1" x14ac:dyDescent="0.2">
      <c r="A46" s="20">
        <v>44</v>
      </c>
      <c r="B46" s="21"/>
      <c r="C46" s="21"/>
      <c r="D46" s="22"/>
      <c r="E46" s="22"/>
      <c r="F46" s="23"/>
      <c r="G46" s="23"/>
      <c r="H46" s="23"/>
      <c r="I46" s="24"/>
      <c r="J46" s="25"/>
      <c r="K46" s="26" t="str">
        <f t="shared" si="6"/>
        <v/>
      </c>
      <c r="L46" s="27" t="str">
        <f t="shared" si="7"/>
        <v/>
      </c>
      <c r="M46" s="28" t="str">
        <f t="shared" si="8"/>
        <v/>
      </c>
      <c r="N46" s="22"/>
      <c r="O46" s="23"/>
      <c r="P46" s="26" t="str">
        <f t="shared" si="9"/>
        <v/>
      </c>
      <c r="Q46" s="29" t="str">
        <f t="shared" si="10"/>
        <v/>
      </c>
      <c r="R46" s="25"/>
      <c r="S46" s="26" t="str">
        <f t="shared" si="11"/>
        <v/>
      </c>
      <c r="T46" s="26" t="str">
        <f>IF(P46="","",SUM(P$3:P46))</f>
        <v/>
      </c>
      <c r="U46" s="30"/>
    </row>
    <row r="47" spans="1:21" ht="18" customHeight="1" x14ac:dyDescent="0.2">
      <c r="A47" s="20">
        <v>45</v>
      </c>
      <c r="B47" s="21"/>
      <c r="C47" s="21"/>
      <c r="D47" s="22"/>
      <c r="E47" s="22"/>
      <c r="F47" s="23"/>
      <c r="G47" s="23"/>
      <c r="H47" s="23"/>
      <c r="I47" s="24"/>
      <c r="J47" s="25"/>
      <c r="K47" s="26" t="str">
        <f t="shared" si="6"/>
        <v/>
      </c>
      <c r="L47" s="27" t="str">
        <f t="shared" si="7"/>
        <v/>
      </c>
      <c r="M47" s="28" t="str">
        <f t="shared" si="8"/>
        <v/>
      </c>
      <c r="N47" s="22"/>
      <c r="O47" s="23"/>
      <c r="P47" s="26" t="str">
        <f t="shared" si="9"/>
        <v/>
      </c>
      <c r="Q47" s="29" t="str">
        <f t="shared" si="10"/>
        <v/>
      </c>
      <c r="R47" s="25"/>
      <c r="S47" s="26" t="str">
        <f t="shared" si="11"/>
        <v/>
      </c>
      <c r="T47" s="26" t="str">
        <f>IF(P47="","",SUM(P$3:P47))</f>
        <v/>
      </c>
      <c r="U47" s="30"/>
    </row>
    <row r="48" spans="1:21" ht="18" customHeight="1" x14ac:dyDescent="0.2">
      <c r="A48" s="20">
        <v>46</v>
      </c>
      <c r="B48" s="21"/>
      <c r="C48" s="21"/>
      <c r="D48" s="22"/>
      <c r="E48" s="22"/>
      <c r="F48" s="23"/>
      <c r="G48" s="23"/>
      <c r="H48" s="23"/>
      <c r="I48" s="24"/>
      <c r="J48" s="25"/>
      <c r="K48" s="26" t="str">
        <f t="shared" si="6"/>
        <v/>
      </c>
      <c r="L48" s="27" t="str">
        <f t="shared" si="7"/>
        <v/>
      </c>
      <c r="M48" s="28" t="str">
        <f t="shared" si="8"/>
        <v/>
      </c>
      <c r="N48" s="22"/>
      <c r="O48" s="23"/>
      <c r="P48" s="26" t="str">
        <f t="shared" si="9"/>
        <v/>
      </c>
      <c r="Q48" s="29" t="str">
        <f t="shared" si="10"/>
        <v/>
      </c>
      <c r="R48" s="25"/>
      <c r="S48" s="26" t="str">
        <f t="shared" si="11"/>
        <v/>
      </c>
      <c r="T48" s="26" t="str">
        <f>IF(P48="","",SUM(P$3:P48))</f>
        <v/>
      </c>
      <c r="U48" s="30"/>
    </row>
    <row r="49" spans="1:21" ht="18" customHeight="1" x14ac:dyDescent="0.2">
      <c r="A49" s="20">
        <v>47</v>
      </c>
      <c r="B49" s="21"/>
      <c r="C49" s="21"/>
      <c r="D49" s="22"/>
      <c r="E49" s="22"/>
      <c r="F49" s="23"/>
      <c r="G49" s="23"/>
      <c r="H49" s="23"/>
      <c r="I49" s="24"/>
      <c r="J49" s="25"/>
      <c r="K49" s="26" t="str">
        <f t="shared" si="6"/>
        <v/>
      </c>
      <c r="L49" s="27" t="str">
        <f t="shared" si="7"/>
        <v/>
      </c>
      <c r="M49" s="28" t="str">
        <f t="shared" si="8"/>
        <v/>
      </c>
      <c r="N49" s="22"/>
      <c r="O49" s="23"/>
      <c r="P49" s="26" t="str">
        <f t="shared" si="9"/>
        <v/>
      </c>
      <c r="Q49" s="29" t="str">
        <f t="shared" si="10"/>
        <v/>
      </c>
      <c r="R49" s="25"/>
      <c r="S49" s="26" t="str">
        <f t="shared" si="11"/>
        <v/>
      </c>
      <c r="T49" s="26" t="str">
        <f>IF(P49="","",SUM(P$3:P49))</f>
        <v/>
      </c>
      <c r="U49" s="30"/>
    </row>
    <row r="50" spans="1:21" ht="18" customHeight="1" x14ac:dyDescent="0.2">
      <c r="A50" s="20">
        <v>48</v>
      </c>
      <c r="B50" s="21"/>
      <c r="C50" s="21"/>
      <c r="D50" s="22"/>
      <c r="E50" s="22"/>
      <c r="F50" s="23"/>
      <c r="G50" s="23"/>
      <c r="H50" s="23"/>
      <c r="I50" s="24"/>
      <c r="J50" s="25"/>
      <c r="K50" s="26" t="str">
        <f t="shared" si="6"/>
        <v/>
      </c>
      <c r="L50" s="27" t="str">
        <f t="shared" si="7"/>
        <v/>
      </c>
      <c r="M50" s="28" t="str">
        <f t="shared" si="8"/>
        <v/>
      </c>
      <c r="N50" s="22"/>
      <c r="O50" s="23"/>
      <c r="P50" s="26" t="str">
        <f t="shared" si="9"/>
        <v/>
      </c>
      <c r="Q50" s="29" t="str">
        <f t="shared" si="10"/>
        <v/>
      </c>
      <c r="R50" s="25"/>
      <c r="S50" s="26" t="str">
        <f t="shared" si="11"/>
        <v/>
      </c>
      <c r="T50" s="26" t="str">
        <f>IF(P50="","",SUM(P$3:P50))</f>
        <v/>
      </c>
      <c r="U50" s="30"/>
    </row>
    <row r="51" spans="1:21" ht="18" customHeight="1" x14ac:dyDescent="0.2">
      <c r="A51" s="20">
        <v>49</v>
      </c>
      <c r="B51" s="21"/>
      <c r="C51" s="21"/>
      <c r="D51" s="22"/>
      <c r="E51" s="22"/>
      <c r="F51" s="23"/>
      <c r="G51" s="23"/>
      <c r="H51" s="23"/>
      <c r="I51" s="24"/>
      <c r="J51" s="25"/>
      <c r="K51" s="26" t="str">
        <f t="shared" si="6"/>
        <v/>
      </c>
      <c r="L51" s="27" t="str">
        <f t="shared" si="7"/>
        <v/>
      </c>
      <c r="M51" s="28" t="str">
        <f t="shared" si="8"/>
        <v/>
      </c>
      <c r="N51" s="22"/>
      <c r="O51" s="23"/>
      <c r="P51" s="26" t="str">
        <f t="shared" si="9"/>
        <v/>
      </c>
      <c r="Q51" s="29" t="str">
        <f t="shared" si="10"/>
        <v/>
      </c>
      <c r="R51" s="25"/>
      <c r="S51" s="26" t="str">
        <f t="shared" si="11"/>
        <v/>
      </c>
      <c r="T51" s="26" t="str">
        <f>IF(P51="","",SUM(P$3:P51))</f>
        <v/>
      </c>
      <c r="U51" s="30"/>
    </row>
    <row r="52" spans="1:21" ht="18" customHeight="1" x14ac:dyDescent="0.2">
      <c r="A52" s="20">
        <v>50</v>
      </c>
      <c r="B52" s="21"/>
      <c r="C52" s="21"/>
      <c r="D52" s="22"/>
      <c r="E52" s="22"/>
      <c r="F52" s="23"/>
      <c r="G52" s="23"/>
      <c r="H52" s="23"/>
      <c r="I52" s="24"/>
      <c r="J52" s="25"/>
      <c r="K52" s="26" t="str">
        <f t="shared" si="6"/>
        <v/>
      </c>
      <c r="L52" s="27" t="str">
        <f t="shared" si="7"/>
        <v/>
      </c>
      <c r="M52" s="28" t="str">
        <f t="shared" si="8"/>
        <v/>
      </c>
      <c r="N52" s="22"/>
      <c r="O52" s="23"/>
      <c r="P52" s="26" t="str">
        <f t="shared" si="9"/>
        <v/>
      </c>
      <c r="Q52" s="29" t="str">
        <f t="shared" si="10"/>
        <v/>
      </c>
      <c r="R52" s="25"/>
      <c r="S52" s="26" t="str">
        <f t="shared" si="11"/>
        <v/>
      </c>
      <c r="T52" s="26" t="str">
        <f>IF(P52="","",SUM(P$3:P52))</f>
        <v/>
      </c>
      <c r="U52" s="30"/>
    </row>
    <row r="53" spans="1:21" ht="18" customHeight="1" x14ac:dyDescent="0.2">
      <c r="A53" s="20">
        <v>51</v>
      </c>
      <c r="B53" s="21"/>
      <c r="C53" s="21"/>
      <c r="D53" s="22"/>
      <c r="E53" s="22"/>
      <c r="F53" s="23"/>
      <c r="G53" s="23"/>
      <c r="H53" s="23"/>
      <c r="I53" s="24"/>
      <c r="J53" s="25"/>
      <c r="K53" s="26" t="str">
        <f t="shared" si="6"/>
        <v/>
      </c>
      <c r="L53" s="27" t="str">
        <f t="shared" si="7"/>
        <v/>
      </c>
      <c r="M53" s="28" t="str">
        <f t="shared" si="8"/>
        <v/>
      </c>
      <c r="N53" s="22"/>
      <c r="O53" s="23"/>
      <c r="P53" s="26" t="str">
        <f t="shared" si="9"/>
        <v/>
      </c>
      <c r="Q53" s="29" t="str">
        <f t="shared" si="10"/>
        <v/>
      </c>
      <c r="R53" s="25"/>
      <c r="S53" s="26" t="str">
        <f t="shared" si="11"/>
        <v/>
      </c>
      <c r="T53" s="26" t="str">
        <f>IF(P53="","",SUM(P$3:P53))</f>
        <v/>
      </c>
      <c r="U53" s="30"/>
    </row>
    <row r="54" spans="1:21" ht="18" customHeight="1" x14ac:dyDescent="0.2">
      <c r="A54" s="20">
        <v>52</v>
      </c>
      <c r="B54" s="21"/>
      <c r="C54" s="21"/>
      <c r="D54" s="22"/>
      <c r="E54" s="22"/>
      <c r="F54" s="23"/>
      <c r="G54" s="23"/>
      <c r="H54" s="23"/>
      <c r="I54" s="24"/>
      <c r="J54" s="25"/>
      <c r="K54" s="26" t="str">
        <f t="shared" si="6"/>
        <v/>
      </c>
      <c r="L54" s="27" t="str">
        <f t="shared" si="7"/>
        <v/>
      </c>
      <c r="M54" s="28" t="str">
        <f t="shared" si="8"/>
        <v/>
      </c>
      <c r="N54" s="22"/>
      <c r="O54" s="23"/>
      <c r="P54" s="26" t="str">
        <f t="shared" si="9"/>
        <v/>
      </c>
      <c r="Q54" s="29" t="str">
        <f t="shared" si="10"/>
        <v/>
      </c>
      <c r="R54" s="25"/>
      <c r="S54" s="26" t="str">
        <f t="shared" si="11"/>
        <v/>
      </c>
      <c r="T54" s="26" t="str">
        <f>IF(P54="","",SUM(P$3:P54))</f>
        <v/>
      </c>
      <c r="U54" s="30"/>
    </row>
    <row r="55" spans="1:21" ht="18" customHeight="1" x14ac:dyDescent="0.2">
      <c r="A55" s="20">
        <v>53</v>
      </c>
      <c r="B55" s="21"/>
      <c r="C55" s="21"/>
      <c r="D55" s="22"/>
      <c r="E55" s="22"/>
      <c r="F55" s="23"/>
      <c r="G55" s="23"/>
      <c r="H55" s="23"/>
      <c r="I55" s="24"/>
      <c r="J55" s="25"/>
      <c r="K55" s="26" t="str">
        <f t="shared" si="6"/>
        <v/>
      </c>
      <c r="L55" s="27" t="str">
        <f t="shared" si="7"/>
        <v/>
      </c>
      <c r="M55" s="28" t="str">
        <f t="shared" si="8"/>
        <v/>
      </c>
      <c r="N55" s="22"/>
      <c r="O55" s="23"/>
      <c r="P55" s="26" t="str">
        <f t="shared" si="9"/>
        <v/>
      </c>
      <c r="Q55" s="29" t="str">
        <f t="shared" si="10"/>
        <v/>
      </c>
      <c r="R55" s="25"/>
      <c r="S55" s="26" t="str">
        <f t="shared" si="11"/>
        <v/>
      </c>
      <c r="T55" s="26" t="str">
        <f>IF(P55="","",SUM(P$3:P55))</f>
        <v/>
      </c>
      <c r="U55" s="30"/>
    </row>
    <row r="56" spans="1:21" ht="18" customHeight="1" x14ac:dyDescent="0.2">
      <c r="A56" s="20">
        <v>54</v>
      </c>
      <c r="B56" s="21"/>
      <c r="C56" s="21"/>
      <c r="D56" s="22"/>
      <c r="E56" s="22"/>
      <c r="F56" s="23"/>
      <c r="G56" s="23"/>
      <c r="H56" s="23"/>
      <c r="I56" s="24"/>
      <c r="J56" s="25"/>
      <c r="K56" s="26" t="str">
        <f t="shared" si="6"/>
        <v/>
      </c>
      <c r="L56" s="27" t="str">
        <f t="shared" si="7"/>
        <v/>
      </c>
      <c r="M56" s="28" t="str">
        <f t="shared" si="8"/>
        <v/>
      </c>
      <c r="N56" s="22"/>
      <c r="O56" s="23"/>
      <c r="P56" s="26" t="str">
        <f t="shared" si="9"/>
        <v/>
      </c>
      <c r="Q56" s="29" t="str">
        <f t="shared" si="10"/>
        <v/>
      </c>
      <c r="R56" s="25"/>
      <c r="S56" s="26" t="str">
        <f t="shared" si="11"/>
        <v/>
      </c>
      <c r="T56" s="26" t="str">
        <f>IF(P56="","",SUM(P$3:P56))</f>
        <v/>
      </c>
      <c r="U56" s="30"/>
    </row>
    <row r="57" spans="1:21" ht="18" customHeight="1" x14ac:dyDescent="0.2">
      <c r="A57" s="20">
        <v>55</v>
      </c>
      <c r="B57" s="21"/>
      <c r="C57" s="21"/>
      <c r="D57" s="22"/>
      <c r="E57" s="22"/>
      <c r="F57" s="23"/>
      <c r="G57" s="23"/>
      <c r="H57" s="23"/>
      <c r="I57" s="24"/>
      <c r="J57" s="25"/>
      <c r="K57" s="26" t="str">
        <f t="shared" si="6"/>
        <v/>
      </c>
      <c r="L57" s="27" t="str">
        <f t="shared" si="7"/>
        <v/>
      </c>
      <c r="M57" s="28" t="str">
        <f t="shared" si="8"/>
        <v/>
      </c>
      <c r="N57" s="22"/>
      <c r="O57" s="23"/>
      <c r="P57" s="26" t="str">
        <f t="shared" si="9"/>
        <v/>
      </c>
      <c r="Q57" s="29" t="str">
        <f t="shared" si="10"/>
        <v/>
      </c>
      <c r="R57" s="25"/>
      <c r="S57" s="26" t="str">
        <f t="shared" si="11"/>
        <v/>
      </c>
      <c r="T57" s="26" t="str">
        <f>IF(P57="","",SUM(P$3:P57))</f>
        <v/>
      </c>
      <c r="U57" s="30"/>
    </row>
    <row r="58" spans="1:21" ht="18" customHeight="1" x14ac:dyDescent="0.2">
      <c r="A58" s="20">
        <v>56</v>
      </c>
      <c r="B58" s="21"/>
      <c r="C58" s="21"/>
      <c r="D58" s="22"/>
      <c r="E58" s="22"/>
      <c r="F58" s="23"/>
      <c r="G58" s="23"/>
      <c r="H58" s="23"/>
      <c r="I58" s="24"/>
      <c r="J58" s="25"/>
      <c r="K58" s="26" t="str">
        <f t="shared" si="6"/>
        <v/>
      </c>
      <c r="L58" s="27" t="str">
        <f t="shared" si="7"/>
        <v/>
      </c>
      <c r="M58" s="28" t="str">
        <f t="shared" si="8"/>
        <v/>
      </c>
      <c r="N58" s="22"/>
      <c r="O58" s="23"/>
      <c r="P58" s="26" t="str">
        <f t="shared" si="9"/>
        <v/>
      </c>
      <c r="Q58" s="29" t="str">
        <f t="shared" si="10"/>
        <v/>
      </c>
      <c r="R58" s="25"/>
      <c r="S58" s="26" t="str">
        <f t="shared" si="11"/>
        <v/>
      </c>
      <c r="T58" s="26" t="str">
        <f>IF(P58="","",SUM(P$3:P58))</f>
        <v/>
      </c>
      <c r="U58" s="30"/>
    </row>
    <row r="59" spans="1:21" ht="18" customHeight="1" x14ac:dyDescent="0.2">
      <c r="A59" s="20">
        <v>57</v>
      </c>
      <c r="B59" s="21"/>
      <c r="C59" s="21"/>
      <c r="D59" s="22"/>
      <c r="E59" s="22"/>
      <c r="F59" s="23"/>
      <c r="G59" s="23"/>
      <c r="H59" s="23"/>
      <c r="I59" s="24"/>
      <c r="J59" s="25"/>
      <c r="K59" s="26" t="str">
        <f t="shared" si="6"/>
        <v/>
      </c>
      <c r="L59" s="27" t="str">
        <f t="shared" si="7"/>
        <v/>
      </c>
      <c r="M59" s="28" t="str">
        <f t="shared" si="8"/>
        <v/>
      </c>
      <c r="N59" s="22"/>
      <c r="O59" s="23"/>
      <c r="P59" s="26" t="str">
        <f t="shared" si="9"/>
        <v/>
      </c>
      <c r="Q59" s="29" t="str">
        <f t="shared" si="10"/>
        <v/>
      </c>
      <c r="R59" s="25"/>
      <c r="S59" s="26" t="str">
        <f t="shared" si="11"/>
        <v/>
      </c>
      <c r="T59" s="26" t="str">
        <f>IF(P59="","",SUM(P$3:P59))</f>
        <v/>
      </c>
      <c r="U59" s="30"/>
    </row>
    <row r="60" spans="1:21" ht="18" customHeight="1" x14ac:dyDescent="0.2">
      <c r="A60" s="20">
        <v>58</v>
      </c>
      <c r="B60" s="21"/>
      <c r="C60" s="21"/>
      <c r="D60" s="22"/>
      <c r="E60" s="22"/>
      <c r="F60" s="23"/>
      <c r="G60" s="23"/>
      <c r="H60" s="23"/>
      <c r="I60" s="24"/>
      <c r="J60" s="25"/>
      <c r="K60" s="26" t="str">
        <f t="shared" si="6"/>
        <v/>
      </c>
      <c r="L60" s="27" t="str">
        <f t="shared" si="7"/>
        <v/>
      </c>
      <c r="M60" s="28" t="str">
        <f t="shared" si="8"/>
        <v/>
      </c>
      <c r="N60" s="22"/>
      <c r="O60" s="23"/>
      <c r="P60" s="26" t="str">
        <f t="shared" si="9"/>
        <v/>
      </c>
      <c r="Q60" s="29" t="str">
        <f t="shared" si="10"/>
        <v/>
      </c>
      <c r="R60" s="25"/>
      <c r="S60" s="26" t="str">
        <f t="shared" si="11"/>
        <v/>
      </c>
      <c r="T60" s="26" t="str">
        <f>IF(P60="","",SUM(P$3:P60))</f>
        <v/>
      </c>
      <c r="U60" s="30"/>
    </row>
    <row r="61" spans="1:21" ht="18" customHeight="1" x14ac:dyDescent="0.2">
      <c r="A61" s="20">
        <v>59</v>
      </c>
      <c r="B61" s="21"/>
      <c r="C61" s="21"/>
      <c r="D61" s="22"/>
      <c r="E61" s="22"/>
      <c r="F61" s="23"/>
      <c r="G61" s="23"/>
      <c r="H61" s="23"/>
      <c r="I61" s="24"/>
      <c r="J61" s="25"/>
      <c r="K61" s="26" t="str">
        <f t="shared" si="6"/>
        <v/>
      </c>
      <c r="L61" s="27" t="str">
        <f t="shared" si="7"/>
        <v/>
      </c>
      <c r="M61" s="28" t="str">
        <f t="shared" si="8"/>
        <v/>
      </c>
      <c r="N61" s="22"/>
      <c r="O61" s="23"/>
      <c r="P61" s="26" t="str">
        <f t="shared" si="9"/>
        <v/>
      </c>
      <c r="Q61" s="29" t="str">
        <f t="shared" si="10"/>
        <v/>
      </c>
      <c r="R61" s="25"/>
      <c r="S61" s="26" t="str">
        <f t="shared" si="11"/>
        <v/>
      </c>
      <c r="T61" s="26" t="str">
        <f>IF(P61="","",SUM(P$3:P61))</f>
        <v/>
      </c>
      <c r="U61" s="30"/>
    </row>
    <row r="62" spans="1:21" ht="18" customHeight="1" x14ac:dyDescent="0.2">
      <c r="A62" s="20">
        <v>60</v>
      </c>
      <c r="B62" s="21"/>
      <c r="C62" s="21"/>
      <c r="D62" s="22"/>
      <c r="E62" s="22"/>
      <c r="F62" s="23"/>
      <c r="G62" s="23"/>
      <c r="H62" s="23"/>
      <c r="I62" s="24"/>
      <c r="J62" s="25"/>
      <c r="K62" s="26" t="str">
        <f t="shared" si="6"/>
        <v/>
      </c>
      <c r="L62" s="27" t="str">
        <f t="shared" si="7"/>
        <v/>
      </c>
      <c r="M62" s="28" t="str">
        <f t="shared" si="8"/>
        <v/>
      </c>
      <c r="N62" s="22"/>
      <c r="O62" s="23"/>
      <c r="P62" s="26" t="str">
        <f t="shared" si="9"/>
        <v/>
      </c>
      <c r="Q62" s="29" t="str">
        <f t="shared" si="10"/>
        <v/>
      </c>
      <c r="R62" s="25"/>
      <c r="S62" s="26" t="str">
        <f t="shared" si="11"/>
        <v/>
      </c>
      <c r="T62" s="26" t="str">
        <f>IF(P62="","",SUM(P$3:P62))</f>
        <v/>
      </c>
      <c r="U62" s="30"/>
    </row>
    <row r="63" spans="1:21" ht="18" customHeight="1" x14ac:dyDescent="0.2">
      <c r="A63" s="20">
        <v>61</v>
      </c>
      <c r="B63" s="21"/>
      <c r="C63" s="21"/>
      <c r="D63" s="22"/>
      <c r="E63" s="22"/>
      <c r="F63" s="23"/>
      <c r="G63" s="23"/>
      <c r="H63" s="23"/>
      <c r="I63" s="24"/>
      <c r="J63" s="25"/>
      <c r="K63" s="26" t="str">
        <f t="shared" si="6"/>
        <v/>
      </c>
      <c r="L63" s="27" t="str">
        <f t="shared" si="7"/>
        <v/>
      </c>
      <c r="M63" s="28" t="str">
        <f t="shared" si="8"/>
        <v/>
      </c>
      <c r="N63" s="22"/>
      <c r="O63" s="23"/>
      <c r="P63" s="26" t="str">
        <f t="shared" si="9"/>
        <v/>
      </c>
      <c r="Q63" s="29" t="str">
        <f t="shared" si="10"/>
        <v/>
      </c>
      <c r="R63" s="25"/>
      <c r="S63" s="26" t="str">
        <f t="shared" si="11"/>
        <v/>
      </c>
      <c r="T63" s="26" t="str">
        <f>IF(P63="","",SUM(P$3:P63))</f>
        <v/>
      </c>
      <c r="U63" s="30"/>
    </row>
    <row r="64" spans="1:21" ht="18" customHeight="1" x14ac:dyDescent="0.2">
      <c r="A64" s="20">
        <v>62</v>
      </c>
      <c r="B64" s="21"/>
      <c r="C64" s="21"/>
      <c r="D64" s="22"/>
      <c r="E64" s="22"/>
      <c r="F64" s="23"/>
      <c r="G64" s="23"/>
      <c r="H64" s="23"/>
      <c r="I64" s="24"/>
      <c r="J64" s="25"/>
      <c r="K64" s="26" t="str">
        <f t="shared" si="6"/>
        <v/>
      </c>
      <c r="L64" s="27" t="str">
        <f t="shared" si="7"/>
        <v/>
      </c>
      <c r="M64" s="28" t="str">
        <f t="shared" si="8"/>
        <v/>
      </c>
      <c r="N64" s="22"/>
      <c r="O64" s="23"/>
      <c r="P64" s="26" t="str">
        <f t="shared" si="9"/>
        <v/>
      </c>
      <c r="Q64" s="29" t="str">
        <f t="shared" si="10"/>
        <v/>
      </c>
      <c r="R64" s="25"/>
      <c r="S64" s="26" t="str">
        <f t="shared" si="11"/>
        <v/>
      </c>
      <c r="T64" s="26" t="str">
        <f>IF(P64="","",SUM(P$3:P64))</f>
        <v/>
      </c>
      <c r="U64" s="30"/>
    </row>
    <row r="65" spans="1:21" ht="18" customHeight="1" x14ac:dyDescent="0.2">
      <c r="A65" s="20">
        <v>63</v>
      </c>
      <c r="B65" s="21"/>
      <c r="C65" s="21"/>
      <c r="D65" s="22"/>
      <c r="E65" s="22"/>
      <c r="F65" s="23"/>
      <c r="G65" s="23"/>
      <c r="H65" s="23"/>
      <c r="I65" s="24"/>
      <c r="J65" s="25"/>
      <c r="K65" s="26" t="str">
        <f t="shared" si="6"/>
        <v/>
      </c>
      <c r="L65" s="27" t="str">
        <f t="shared" si="7"/>
        <v/>
      </c>
      <c r="M65" s="28" t="str">
        <f t="shared" si="8"/>
        <v/>
      </c>
      <c r="N65" s="22"/>
      <c r="O65" s="23"/>
      <c r="P65" s="26" t="str">
        <f t="shared" si="9"/>
        <v/>
      </c>
      <c r="Q65" s="29" t="str">
        <f t="shared" si="10"/>
        <v/>
      </c>
      <c r="R65" s="25"/>
      <c r="S65" s="26" t="str">
        <f t="shared" si="11"/>
        <v/>
      </c>
      <c r="T65" s="26" t="str">
        <f>IF(P65="","",SUM(P$3:P65))</f>
        <v/>
      </c>
      <c r="U65" s="30"/>
    </row>
    <row r="66" spans="1:21" ht="18" customHeight="1" x14ac:dyDescent="0.2">
      <c r="A66" s="20">
        <v>64</v>
      </c>
      <c r="B66" s="21"/>
      <c r="C66" s="21"/>
      <c r="D66" s="22"/>
      <c r="E66" s="22"/>
      <c r="F66" s="23"/>
      <c r="G66" s="23"/>
      <c r="H66" s="23"/>
      <c r="I66" s="24"/>
      <c r="J66" s="25"/>
      <c r="K66" s="26" t="str">
        <f t="shared" si="6"/>
        <v/>
      </c>
      <c r="L66" s="27" t="str">
        <f t="shared" si="7"/>
        <v/>
      </c>
      <c r="M66" s="28" t="str">
        <f t="shared" si="8"/>
        <v/>
      </c>
      <c r="N66" s="22"/>
      <c r="O66" s="23"/>
      <c r="P66" s="26" t="str">
        <f t="shared" si="9"/>
        <v/>
      </c>
      <c r="Q66" s="29" t="str">
        <f t="shared" si="10"/>
        <v/>
      </c>
      <c r="R66" s="25"/>
      <c r="S66" s="26" t="str">
        <f t="shared" si="11"/>
        <v/>
      </c>
      <c r="T66" s="26" t="str">
        <f>IF(P66="","",SUM(P$3:P66))</f>
        <v/>
      </c>
      <c r="U66" s="30"/>
    </row>
    <row r="67" spans="1:21" ht="18" customHeight="1" x14ac:dyDescent="0.2">
      <c r="A67" s="20">
        <v>65</v>
      </c>
      <c r="B67" s="21"/>
      <c r="C67" s="21"/>
      <c r="D67" s="22"/>
      <c r="E67" s="22"/>
      <c r="F67" s="23"/>
      <c r="G67" s="23"/>
      <c r="H67" s="23"/>
      <c r="I67" s="24"/>
      <c r="J67" s="25"/>
      <c r="K67" s="26" t="str">
        <f t="shared" ref="K67:K98" si="12">IF(F67="","",J67/ABS(F67-G67)*F67)</f>
        <v/>
      </c>
      <c r="L67" s="27" t="str">
        <f t="shared" ref="L67:L98" si="13">IF(F67="","",K67/F67)</f>
        <v/>
      </c>
      <c r="M67" s="28" t="str">
        <f t="shared" ref="M67:M102" si="14">IF(F67="","",MAX(1,CEILING(K67/(R67/3),1)))</f>
        <v/>
      </c>
      <c r="N67" s="22"/>
      <c r="O67" s="23"/>
      <c r="P67" s="26" t="str">
        <f t="shared" ref="P67:P98" si="15">IF(OR(F67="",O67=""),"",IF(E67="Long",(O67-F67)*L67,(F67-O67)*L67))</f>
        <v/>
      </c>
      <c r="Q67" s="29" t="str">
        <f t="shared" ref="Q67:Q98" si="16">IF(OR(J67="",J67=0,P67=""),"",P67/J67)</f>
        <v/>
      </c>
      <c r="R67" s="25"/>
      <c r="S67" s="26" t="str">
        <f t="shared" ref="S67:S98" si="17">IF(OR(R67="",P67=""),"",R67+P67)</f>
        <v/>
      </c>
      <c r="T67" s="26" t="str">
        <f>IF(P67="","",SUM(P$3:P67))</f>
        <v/>
      </c>
      <c r="U67" s="30"/>
    </row>
    <row r="68" spans="1:21" ht="18" customHeight="1" x14ac:dyDescent="0.2">
      <c r="A68" s="20">
        <v>66</v>
      </c>
      <c r="B68" s="21"/>
      <c r="C68" s="21"/>
      <c r="D68" s="22"/>
      <c r="E68" s="22"/>
      <c r="F68" s="23"/>
      <c r="G68" s="23"/>
      <c r="H68" s="23"/>
      <c r="I68" s="24"/>
      <c r="J68" s="25"/>
      <c r="K68" s="26" t="str">
        <f t="shared" si="12"/>
        <v/>
      </c>
      <c r="L68" s="27" t="str">
        <f t="shared" si="13"/>
        <v/>
      </c>
      <c r="M68" s="28" t="str">
        <f t="shared" si="14"/>
        <v/>
      </c>
      <c r="N68" s="22"/>
      <c r="O68" s="23"/>
      <c r="P68" s="26" t="str">
        <f t="shared" si="15"/>
        <v/>
      </c>
      <c r="Q68" s="29" t="str">
        <f t="shared" si="16"/>
        <v/>
      </c>
      <c r="R68" s="25"/>
      <c r="S68" s="26" t="str">
        <f t="shared" si="17"/>
        <v/>
      </c>
      <c r="T68" s="26" t="str">
        <f>IF(P68="","",SUM(P$3:P68))</f>
        <v/>
      </c>
      <c r="U68" s="30"/>
    </row>
    <row r="69" spans="1:21" ht="18" customHeight="1" x14ac:dyDescent="0.2">
      <c r="A69" s="20">
        <v>67</v>
      </c>
      <c r="B69" s="21"/>
      <c r="C69" s="21"/>
      <c r="D69" s="22"/>
      <c r="E69" s="22"/>
      <c r="F69" s="23"/>
      <c r="G69" s="23"/>
      <c r="H69" s="23"/>
      <c r="I69" s="24"/>
      <c r="J69" s="25"/>
      <c r="K69" s="26" t="str">
        <f t="shared" si="12"/>
        <v/>
      </c>
      <c r="L69" s="27" t="str">
        <f t="shared" si="13"/>
        <v/>
      </c>
      <c r="M69" s="28" t="str">
        <f t="shared" si="14"/>
        <v/>
      </c>
      <c r="N69" s="22"/>
      <c r="O69" s="23"/>
      <c r="P69" s="26" t="str">
        <f t="shared" si="15"/>
        <v/>
      </c>
      <c r="Q69" s="29" t="str">
        <f t="shared" si="16"/>
        <v/>
      </c>
      <c r="R69" s="25"/>
      <c r="S69" s="26" t="str">
        <f t="shared" si="17"/>
        <v/>
      </c>
      <c r="T69" s="26" t="str">
        <f>IF(P69="","",SUM(P$3:P69))</f>
        <v/>
      </c>
      <c r="U69" s="30"/>
    </row>
    <row r="70" spans="1:21" ht="18" customHeight="1" x14ac:dyDescent="0.2">
      <c r="A70" s="20">
        <v>68</v>
      </c>
      <c r="B70" s="21"/>
      <c r="C70" s="21"/>
      <c r="D70" s="22"/>
      <c r="E70" s="22"/>
      <c r="F70" s="23"/>
      <c r="G70" s="23"/>
      <c r="H70" s="23"/>
      <c r="I70" s="24"/>
      <c r="J70" s="25"/>
      <c r="K70" s="26" t="str">
        <f t="shared" si="12"/>
        <v/>
      </c>
      <c r="L70" s="27" t="str">
        <f t="shared" si="13"/>
        <v/>
      </c>
      <c r="M70" s="28" t="str">
        <f t="shared" si="14"/>
        <v/>
      </c>
      <c r="N70" s="22"/>
      <c r="O70" s="23"/>
      <c r="P70" s="26" t="str">
        <f t="shared" si="15"/>
        <v/>
      </c>
      <c r="Q70" s="29" t="str">
        <f t="shared" si="16"/>
        <v/>
      </c>
      <c r="R70" s="25"/>
      <c r="S70" s="26" t="str">
        <f t="shared" si="17"/>
        <v/>
      </c>
      <c r="T70" s="26" t="str">
        <f>IF(P70="","",SUM(P$3:P70))</f>
        <v/>
      </c>
      <c r="U70" s="30"/>
    </row>
    <row r="71" spans="1:21" ht="18" customHeight="1" x14ac:dyDescent="0.2">
      <c r="A71" s="20">
        <v>69</v>
      </c>
      <c r="B71" s="21"/>
      <c r="C71" s="21"/>
      <c r="D71" s="22"/>
      <c r="E71" s="22"/>
      <c r="F71" s="23"/>
      <c r="G71" s="23"/>
      <c r="H71" s="23"/>
      <c r="I71" s="24"/>
      <c r="J71" s="25"/>
      <c r="K71" s="26" t="str">
        <f t="shared" si="12"/>
        <v/>
      </c>
      <c r="L71" s="27" t="str">
        <f t="shared" si="13"/>
        <v/>
      </c>
      <c r="M71" s="28" t="str">
        <f t="shared" si="14"/>
        <v/>
      </c>
      <c r="N71" s="22"/>
      <c r="O71" s="23"/>
      <c r="P71" s="26" t="str">
        <f t="shared" si="15"/>
        <v/>
      </c>
      <c r="Q71" s="29" t="str">
        <f t="shared" si="16"/>
        <v/>
      </c>
      <c r="R71" s="25"/>
      <c r="S71" s="26" t="str">
        <f t="shared" si="17"/>
        <v/>
      </c>
      <c r="T71" s="26" t="str">
        <f>IF(P71="","",SUM(P$3:P71))</f>
        <v/>
      </c>
      <c r="U71" s="30"/>
    </row>
    <row r="72" spans="1:21" ht="18" customHeight="1" x14ac:dyDescent="0.2">
      <c r="A72" s="20">
        <v>70</v>
      </c>
      <c r="B72" s="21"/>
      <c r="C72" s="21"/>
      <c r="D72" s="22"/>
      <c r="E72" s="22"/>
      <c r="F72" s="23"/>
      <c r="G72" s="23"/>
      <c r="H72" s="23"/>
      <c r="I72" s="24"/>
      <c r="J72" s="25"/>
      <c r="K72" s="26" t="str">
        <f t="shared" si="12"/>
        <v/>
      </c>
      <c r="L72" s="27" t="str">
        <f t="shared" si="13"/>
        <v/>
      </c>
      <c r="M72" s="28" t="str">
        <f t="shared" si="14"/>
        <v/>
      </c>
      <c r="N72" s="22"/>
      <c r="O72" s="23"/>
      <c r="P72" s="26" t="str">
        <f t="shared" si="15"/>
        <v/>
      </c>
      <c r="Q72" s="29" t="str">
        <f t="shared" si="16"/>
        <v/>
      </c>
      <c r="R72" s="25"/>
      <c r="S72" s="26" t="str">
        <f t="shared" si="17"/>
        <v/>
      </c>
      <c r="T72" s="26" t="str">
        <f>IF(P72="","",SUM(P$3:P72))</f>
        <v/>
      </c>
      <c r="U72" s="30"/>
    </row>
    <row r="73" spans="1:21" ht="18" customHeight="1" x14ac:dyDescent="0.2">
      <c r="A73" s="20">
        <v>71</v>
      </c>
      <c r="B73" s="21"/>
      <c r="C73" s="21"/>
      <c r="D73" s="22"/>
      <c r="E73" s="22"/>
      <c r="F73" s="23"/>
      <c r="G73" s="23"/>
      <c r="H73" s="23"/>
      <c r="I73" s="24"/>
      <c r="J73" s="25"/>
      <c r="K73" s="26" t="str">
        <f t="shared" si="12"/>
        <v/>
      </c>
      <c r="L73" s="27" t="str">
        <f t="shared" si="13"/>
        <v/>
      </c>
      <c r="M73" s="28" t="str">
        <f t="shared" si="14"/>
        <v/>
      </c>
      <c r="N73" s="22"/>
      <c r="O73" s="23"/>
      <c r="P73" s="26" t="str">
        <f t="shared" si="15"/>
        <v/>
      </c>
      <c r="Q73" s="29" t="str">
        <f t="shared" si="16"/>
        <v/>
      </c>
      <c r="R73" s="25"/>
      <c r="S73" s="26" t="str">
        <f t="shared" si="17"/>
        <v/>
      </c>
      <c r="T73" s="26" t="str">
        <f>IF(P73="","",SUM(P$3:P73))</f>
        <v/>
      </c>
      <c r="U73" s="30"/>
    </row>
    <row r="74" spans="1:21" ht="18" customHeight="1" x14ac:dyDescent="0.2">
      <c r="A74" s="20">
        <v>72</v>
      </c>
      <c r="B74" s="21"/>
      <c r="C74" s="21"/>
      <c r="D74" s="22"/>
      <c r="E74" s="22"/>
      <c r="F74" s="23"/>
      <c r="G74" s="23"/>
      <c r="H74" s="23"/>
      <c r="I74" s="24"/>
      <c r="J74" s="25"/>
      <c r="K74" s="26" t="str">
        <f t="shared" si="12"/>
        <v/>
      </c>
      <c r="L74" s="27" t="str">
        <f t="shared" si="13"/>
        <v/>
      </c>
      <c r="M74" s="28" t="str">
        <f t="shared" si="14"/>
        <v/>
      </c>
      <c r="N74" s="22"/>
      <c r="O74" s="23"/>
      <c r="P74" s="26" t="str">
        <f t="shared" si="15"/>
        <v/>
      </c>
      <c r="Q74" s="29" t="str">
        <f t="shared" si="16"/>
        <v/>
      </c>
      <c r="R74" s="25"/>
      <c r="S74" s="26" t="str">
        <f t="shared" si="17"/>
        <v/>
      </c>
      <c r="T74" s="26" t="str">
        <f>IF(P74="","",SUM(P$3:P74))</f>
        <v/>
      </c>
      <c r="U74" s="30"/>
    </row>
    <row r="75" spans="1:21" ht="18" customHeight="1" x14ac:dyDescent="0.2">
      <c r="A75" s="20">
        <v>73</v>
      </c>
      <c r="B75" s="21"/>
      <c r="C75" s="21"/>
      <c r="D75" s="22"/>
      <c r="E75" s="22"/>
      <c r="F75" s="23"/>
      <c r="G75" s="23"/>
      <c r="H75" s="23"/>
      <c r="I75" s="24"/>
      <c r="J75" s="25"/>
      <c r="K75" s="26" t="str">
        <f t="shared" si="12"/>
        <v/>
      </c>
      <c r="L75" s="27" t="str">
        <f t="shared" si="13"/>
        <v/>
      </c>
      <c r="M75" s="28" t="str">
        <f t="shared" si="14"/>
        <v/>
      </c>
      <c r="N75" s="22"/>
      <c r="O75" s="23"/>
      <c r="P75" s="26" t="str">
        <f t="shared" si="15"/>
        <v/>
      </c>
      <c r="Q75" s="29" t="str">
        <f t="shared" si="16"/>
        <v/>
      </c>
      <c r="R75" s="25"/>
      <c r="S75" s="26" t="str">
        <f t="shared" si="17"/>
        <v/>
      </c>
      <c r="T75" s="26" t="str">
        <f>IF(P75="","",SUM(P$3:P75))</f>
        <v/>
      </c>
      <c r="U75" s="30"/>
    </row>
    <row r="76" spans="1:21" ht="18" customHeight="1" x14ac:dyDescent="0.2">
      <c r="A76" s="20">
        <v>74</v>
      </c>
      <c r="B76" s="21"/>
      <c r="C76" s="21"/>
      <c r="D76" s="22"/>
      <c r="E76" s="22"/>
      <c r="F76" s="23"/>
      <c r="G76" s="23"/>
      <c r="H76" s="23"/>
      <c r="I76" s="24"/>
      <c r="J76" s="25"/>
      <c r="K76" s="26" t="str">
        <f t="shared" si="12"/>
        <v/>
      </c>
      <c r="L76" s="27" t="str">
        <f t="shared" si="13"/>
        <v/>
      </c>
      <c r="M76" s="28" t="str">
        <f t="shared" si="14"/>
        <v/>
      </c>
      <c r="N76" s="22"/>
      <c r="O76" s="23"/>
      <c r="P76" s="26" t="str">
        <f t="shared" si="15"/>
        <v/>
      </c>
      <c r="Q76" s="29" t="str">
        <f t="shared" si="16"/>
        <v/>
      </c>
      <c r="R76" s="25"/>
      <c r="S76" s="26" t="str">
        <f t="shared" si="17"/>
        <v/>
      </c>
      <c r="T76" s="26" t="str">
        <f>IF(P76="","",SUM(P$3:P76))</f>
        <v/>
      </c>
      <c r="U76" s="30"/>
    </row>
    <row r="77" spans="1:21" ht="18" customHeight="1" x14ac:dyDescent="0.2">
      <c r="A77" s="20">
        <v>75</v>
      </c>
      <c r="B77" s="21"/>
      <c r="C77" s="21"/>
      <c r="D77" s="22"/>
      <c r="E77" s="22"/>
      <c r="F77" s="23"/>
      <c r="G77" s="23"/>
      <c r="H77" s="23"/>
      <c r="I77" s="24"/>
      <c r="J77" s="25"/>
      <c r="K77" s="26" t="str">
        <f t="shared" si="12"/>
        <v/>
      </c>
      <c r="L77" s="27" t="str">
        <f t="shared" si="13"/>
        <v/>
      </c>
      <c r="M77" s="28" t="str">
        <f t="shared" si="14"/>
        <v/>
      </c>
      <c r="N77" s="22"/>
      <c r="O77" s="23"/>
      <c r="P77" s="26" t="str">
        <f t="shared" si="15"/>
        <v/>
      </c>
      <c r="Q77" s="29" t="str">
        <f t="shared" si="16"/>
        <v/>
      </c>
      <c r="R77" s="25"/>
      <c r="S77" s="26" t="str">
        <f t="shared" si="17"/>
        <v/>
      </c>
      <c r="T77" s="26" t="str">
        <f>IF(P77="","",SUM(P$3:P77))</f>
        <v/>
      </c>
      <c r="U77" s="30"/>
    </row>
    <row r="78" spans="1:21" ht="18" customHeight="1" x14ac:dyDescent="0.2">
      <c r="A78" s="20">
        <v>76</v>
      </c>
      <c r="B78" s="21"/>
      <c r="C78" s="21"/>
      <c r="D78" s="22"/>
      <c r="E78" s="22"/>
      <c r="F78" s="23"/>
      <c r="G78" s="23"/>
      <c r="H78" s="23"/>
      <c r="I78" s="24"/>
      <c r="J78" s="25"/>
      <c r="K78" s="26" t="str">
        <f t="shared" si="12"/>
        <v/>
      </c>
      <c r="L78" s="27" t="str">
        <f t="shared" si="13"/>
        <v/>
      </c>
      <c r="M78" s="28" t="str">
        <f t="shared" si="14"/>
        <v/>
      </c>
      <c r="N78" s="22"/>
      <c r="O78" s="23"/>
      <c r="P78" s="26" t="str">
        <f t="shared" si="15"/>
        <v/>
      </c>
      <c r="Q78" s="29" t="str">
        <f t="shared" si="16"/>
        <v/>
      </c>
      <c r="R78" s="25"/>
      <c r="S78" s="26" t="str">
        <f t="shared" si="17"/>
        <v/>
      </c>
      <c r="T78" s="26" t="str">
        <f>IF(P78="","",SUM(P$3:P78))</f>
        <v/>
      </c>
      <c r="U78" s="30"/>
    </row>
    <row r="79" spans="1:21" ht="18" customHeight="1" x14ac:dyDescent="0.2">
      <c r="A79" s="20">
        <v>77</v>
      </c>
      <c r="B79" s="21"/>
      <c r="C79" s="21"/>
      <c r="D79" s="22"/>
      <c r="E79" s="22"/>
      <c r="F79" s="23"/>
      <c r="G79" s="23"/>
      <c r="H79" s="23"/>
      <c r="I79" s="24"/>
      <c r="J79" s="25"/>
      <c r="K79" s="26" t="str">
        <f t="shared" si="12"/>
        <v/>
      </c>
      <c r="L79" s="27" t="str">
        <f t="shared" si="13"/>
        <v/>
      </c>
      <c r="M79" s="28" t="str">
        <f t="shared" si="14"/>
        <v/>
      </c>
      <c r="N79" s="22"/>
      <c r="O79" s="23"/>
      <c r="P79" s="26" t="str">
        <f t="shared" si="15"/>
        <v/>
      </c>
      <c r="Q79" s="29" t="str">
        <f t="shared" si="16"/>
        <v/>
      </c>
      <c r="R79" s="25"/>
      <c r="S79" s="26" t="str">
        <f t="shared" si="17"/>
        <v/>
      </c>
      <c r="T79" s="26" t="str">
        <f>IF(P79="","",SUM(P$3:P79))</f>
        <v/>
      </c>
      <c r="U79" s="30"/>
    </row>
    <row r="80" spans="1:21" ht="18" customHeight="1" x14ac:dyDescent="0.2">
      <c r="A80" s="20">
        <v>78</v>
      </c>
      <c r="B80" s="21"/>
      <c r="C80" s="21"/>
      <c r="D80" s="22"/>
      <c r="E80" s="22"/>
      <c r="F80" s="23"/>
      <c r="G80" s="23"/>
      <c r="H80" s="23"/>
      <c r="I80" s="24"/>
      <c r="J80" s="25"/>
      <c r="K80" s="26" t="str">
        <f t="shared" si="12"/>
        <v/>
      </c>
      <c r="L80" s="27" t="str">
        <f t="shared" si="13"/>
        <v/>
      </c>
      <c r="M80" s="28" t="str">
        <f t="shared" si="14"/>
        <v/>
      </c>
      <c r="N80" s="22"/>
      <c r="O80" s="23"/>
      <c r="P80" s="26" t="str">
        <f t="shared" si="15"/>
        <v/>
      </c>
      <c r="Q80" s="29" t="str">
        <f t="shared" si="16"/>
        <v/>
      </c>
      <c r="R80" s="25"/>
      <c r="S80" s="26" t="str">
        <f t="shared" si="17"/>
        <v/>
      </c>
      <c r="T80" s="26" t="str">
        <f>IF(P80="","",SUM(P$3:P80))</f>
        <v/>
      </c>
      <c r="U80" s="30"/>
    </row>
    <row r="81" spans="1:21" ht="18" customHeight="1" x14ac:dyDescent="0.2">
      <c r="A81" s="20">
        <v>79</v>
      </c>
      <c r="B81" s="21"/>
      <c r="C81" s="21"/>
      <c r="D81" s="22"/>
      <c r="E81" s="22"/>
      <c r="F81" s="23"/>
      <c r="G81" s="23"/>
      <c r="H81" s="23"/>
      <c r="I81" s="24"/>
      <c r="J81" s="25"/>
      <c r="K81" s="26" t="str">
        <f t="shared" si="12"/>
        <v/>
      </c>
      <c r="L81" s="27" t="str">
        <f t="shared" si="13"/>
        <v/>
      </c>
      <c r="M81" s="28" t="str">
        <f t="shared" si="14"/>
        <v/>
      </c>
      <c r="N81" s="22"/>
      <c r="O81" s="23"/>
      <c r="P81" s="26" t="str">
        <f t="shared" si="15"/>
        <v/>
      </c>
      <c r="Q81" s="29" t="str">
        <f t="shared" si="16"/>
        <v/>
      </c>
      <c r="R81" s="25"/>
      <c r="S81" s="26" t="str">
        <f t="shared" si="17"/>
        <v/>
      </c>
      <c r="T81" s="26" t="str">
        <f>IF(P81="","",SUM(P$3:P81))</f>
        <v/>
      </c>
      <c r="U81" s="30"/>
    </row>
    <row r="82" spans="1:21" ht="18" customHeight="1" x14ac:dyDescent="0.2">
      <c r="A82" s="20">
        <v>80</v>
      </c>
      <c r="B82" s="21"/>
      <c r="C82" s="21"/>
      <c r="D82" s="22"/>
      <c r="E82" s="22"/>
      <c r="F82" s="23"/>
      <c r="G82" s="23"/>
      <c r="H82" s="23"/>
      <c r="I82" s="24"/>
      <c r="J82" s="25"/>
      <c r="K82" s="26" t="str">
        <f t="shared" si="12"/>
        <v/>
      </c>
      <c r="L82" s="27" t="str">
        <f t="shared" si="13"/>
        <v/>
      </c>
      <c r="M82" s="28" t="str">
        <f t="shared" si="14"/>
        <v/>
      </c>
      <c r="N82" s="22"/>
      <c r="O82" s="23"/>
      <c r="P82" s="26" t="str">
        <f t="shared" si="15"/>
        <v/>
      </c>
      <c r="Q82" s="29" t="str">
        <f t="shared" si="16"/>
        <v/>
      </c>
      <c r="R82" s="25"/>
      <c r="S82" s="26" t="str">
        <f t="shared" si="17"/>
        <v/>
      </c>
      <c r="T82" s="26" t="str">
        <f>IF(P82="","",SUM(P$3:P82))</f>
        <v/>
      </c>
      <c r="U82" s="30"/>
    </row>
    <row r="83" spans="1:21" ht="18" customHeight="1" x14ac:dyDescent="0.2">
      <c r="A83" s="20">
        <v>81</v>
      </c>
      <c r="B83" s="21"/>
      <c r="C83" s="21"/>
      <c r="D83" s="22"/>
      <c r="E83" s="22"/>
      <c r="F83" s="23"/>
      <c r="G83" s="23"/>
      <c r="H83" s="23"/>
      <c r="I83" s="24"/>
      <c r="J83" s="25"/>
      <c r="K83" s="26" t="str">
        <f t="shared" si="12"/>
        <v/>
      </c>
      <c r="L83" s="27" t="str">
        <f t="shared" si="13"/>
        <v/>
      </c>
      <c r="M83" s="28" t="str">
        <f t="shared" si="14"/>
        <v/>
      </c>
      <c r="N83" s="22"/>
      <c r="O83" s="23"/>
      <c r="P83" s="26" t="str">
        <f t="shared" si="15"/>
        <v/>
      </c>
      <c r="Q83" s="29" t="str">
        <f t="shared" si="16"/>
        <v/>
      </c>
      <c r="R83" s="25"/>
      <c r="S83" s="26" t="str">
        <f t="shared" si="17"/>
        <v/>
      </c>
      <c r="T83" s="26" t="str">
        <f>IF(P83="","",SUM(P$3:P83))</f>
        <v/>
      </c>
      <c r="U83" s="30"/>
    </row>
    <row r="84" spans="1:21" ht="18" customHeight="1" x14ac:dyDescent="0.2">
      <c r="A84" s="20">
        <v>82</v>
      </c>
      <c r="B84" s="21"/>
      <c r="C84" s="21"/>
      <c r="D84" s="22"/>
      <c r="E84" s="22"/>
      <c r="F84" s="23"/>
      <c r="G84" s="23"/>
      <c r="H84" s="23"/>
      <c r="I84" s="24"/>
      <c r="J84" s="25"/>
      <c r="K84" s="26" t="str">
        <f t="shared" si="12"/>
        <v/>
      </c>
      <c r="L84" s="27" t="str">
        <f t="shared" si="13"/>
        <v/>
      </c>
      <c r="M84" s="28" t="str">
        <f t="shared" si="14"/>
        <v/>
      </c>
      <c r="N84" s="22"/>
      <c r="O84" s="23"/>
      <c r="P84" s="26" t="str">
        <f t="shared" si="15"/>
        <v/>
      </c>
      <c r="Q84" s="29" t="str">
        <f t="shared" si="16"/>
        <v/>
      </c>
      <c r="R84" s="25"/>
      <c r="S84" s="26" t="str">
        <f t="shared" si="17"/>
        <v/>
      </c>
      <c r="T84" s="26" t="str">
        <f>IF(P84="","",SUM(P$3:P84))</f>
        <v/>
      </c>
      <c r="U84" s="30"/>
    </row>
    <row r="85" spans="1:21" ht="18" customHeight="1" x14ac:dyDescent="0.2">
      <c r="A85" s="20">
        <v>83</v>
      </c>
      <c r="B85" s="21"/>
      <c r="C85" s="21"/>
      <c r="D85" s="22"/>
      <c r="E85" s="22"/>
      <c r="F85" s="23"/>
      <c r="G85" s="23"/>
      <c r="H85" s="23"/>
      <c r="I85" s="24"/>
      <c r="J85" s="25"/>
      <c r="K85" s="26" t="str">
        <f t="shared" si="12"/>
        <v/>
      </c>
      <c r="L85" s="27" t="str">
        <f t="shared" si="13"/>
        <v/>
      </c>
      <c r="M85" s="28" t="str">
        <f t="shared" si="14"/>
        <v/>
      </c>
      <c r="N85" s="22"/>
      <c r="O85" s="23"/>
      <c r="P85" s="26" t="str">
        <f t="shared" si="15"/>
        <v/>
      </c>
      <c r="Q85" s="29" t="str">
        <f t="shared" si="16"/>
        <v/>
      </c>
      <c r="R85" s="25"/>
      <c r="S85" s="26" t="str">
        <f t="shared" si="17"/>
        <v/>
      </c>
      <c r="T85" s="26" t="str">
        <f>IF(P85="","",SUM(P$3:P85))</f>
        <v/>
      </c>
      <c r="U85" s="30"/>
    </row>
    <row r="86" spans="1:21" ht="18" customHeight="1" x14ac:dyDescent="0.2">
      <c r="A86" s="20">
        <v>84</v>
      </c>
      <c r="B86" s="21"/>
      <c r="C86" s="21"/>
      <c r="D86" s="22"/>
      <c r="E86" s="22"/>
      <c r="F86" s="23"/>
      <c r="G86" s="23"/>
      <c r="H86" s="23"/>
      <c r="I86" s="24"/>
      <c r="J86" s="25"/>
      <c r="K86" s="26" t="str">
        <f t="shared" si="12"/>
        <v/>
      </c>
      <c r="L86" s="27" t="str">
        <f t="shared" si="13"/>
        <v/>
      </c>
      <c r="M86" s="28" t="str">
        <f t="shared" si="14"/>
        <v/>
      </c>
      <c r="N86" s="22"/>
      <c r="O86" s="23"/>
      <c r="P86" s="26" t="str">
        <f t="shared" si="15"/>
        <v/>
      </c>
      <c r="Q86" s="29" t="str">
        <f t="shared" si="16"/>
        <v/>
      </c>
      <c r="R86" s="25"/>
      <c r="S86" s="26" t="str">
        <f t="shared" si="17"/>
        <v/>
      </c>
      <c r="T86" s="26" t="str">
        <f>IF(P86="","",SUM(P$3:P86))</f>
        <v/>
      </c>
      <c r="U86" s="30"/>
    </row>
    <row r="87" spans="1:21" ht="18" customHeight="1" x14ac:dyDescent="0.2">
      <c r="A87" s="20">
        <v>85</v>
      </c>
      <c r="B87" s="21"/>
      <c r="C87" s="21"/>
      <c r="D87" s="22"/>
      <c r="E87" s="22"/>
      <c r="F87" s="23"/>
      <c r="G87" s="23"/>
      <c r="H87" s="23"/>
      <c r="I87" s="24"/>
      <c r="J87" s="25"/>
      <c r="K87" s="26" t="str">
        <f t="shared" si="12"/>
        <v/>
      </c>
      <c r="L87" s="27" t="str">
        <f t="shared" si="13"/>
        <v/>
      </c>
      <c r="M87" s="28" t="str">
        <f t="shared" si="14"/>
        <v/>
      </c>
      <c r="N87" s="22"/>
      <c r="O87" s="23"/>
      <c r="P87" s="26" t="str">
        <f t="shared" si="15"/>
        <v/>
      </c>
      <c r="Q87" s="29" t="str">
        <f t="shared" si="16"/>
        <v/>
      </c>
      <c r="R87" s="25"/>
      <c r="S87" s="26" t="str">
        <f t="shared" si="17"/>
        <v/>
      </c>
      <c r="T87" s="26" t="str">
        <f>IF(P87="","",SUM(P$3:P87))</f>
        <v/>
      </c>
      <c r="U87" s="30"/>
    </row>
    <row r="88" spans="1:21" ht="18" customHeight="1" x14ac:dyDescent="0.2">
      <c r="A88" s="20">
        <v>86</v>
      </c>
      <c r="B88" s="21"/>
      <c r="C88" s="21"/>
      <c r="D88" s="22"/>
      <c r="E88" s="22"/>
      <c r="F88" s="23"/>
      <c r="G88" s="23"/>
      <c r="H88" s="23"/>
      <c r="I88" s="24"/>
      <c r="J88" s="25"/>
      <c r="K88" s="26" t="str">
        <f t="shared" si="12"/>
        <v/>
      </c>
      <c r="L88" s="27" t="str">
        <f t="shared" si="13"/>
        <v/>
      </c>
      <c r="M88" s="28" t="str">
        <f t="shared" si="14"/>
        <v/>
      </c>
      <c r="N88" s="22"/>
      <c r="O88" s="23"/>
      <c r="P88" s="26" t="str">
        <f t="shared" si="15"/>
        <v/>
      </c>
      <c r="Q88" s="29" t="str">
        <f t="shared" si="16"/>
        <v/>
      </c>
      <c r="R88" s="25"/>
      <c r="S88" s="26" t="str">
        <f t="shared" si="17"/>
        <v/>
      </c>
      <c r="T88" s="26" t="str">
        <f>IF(P88="","",SUM(P$3:P88))</f>
        <v/>
      </c>
      <c r="U88" s="30"/>
    </row>
    <row r="89" spans="1:21" ht="18" customHeight="1" x14ac:dyDescent="0.2">
      <c r="A89" s="20">
        <v>87</v>
      </c>
      <c r="B89" s="21"/>
      <c r="C89" s="21"/>
      <c r="D89" s="22"/>
      <c r="E89" s="22"/>
      <c r="F89" s="23"/>
      <c r="G89" s="23"/>
      <c r="H89" s="23"/>
      <c r="I89" s="24"/>
      <c r="J89" s="25"/>
      <c r="K89" s="26" t="str">
        <f t="shared" si="12"/>
        <v/>
      </c>
      <c r="L89" s="27" t="str">
        <f t="shared" si="13"/>
        <v/>
      </c>
      <c r="M89" s="28" t="str">
        <f t="shared" si="14"/>
        <v/>
      </c>
      <c r="N89" s="22"/>
      <c r="O89" s="23"/>
      <c r="P89" s="26" t="str">
        <f t="shared" si="15"/>
        <v/>
      </c>
      <c r="Q89" s="29" t="str">
        <f t="shared" si="16"/>
        <v/>
      </c>
      <c r="R89" s="25"/>
      <c r="S89" s="26" t="str">
        <f t="shared" si="17"/>
        <v/>
      </c>
      <c r="T89" s="26" t="str">
        <f>IF(P89="","",SUM(P$3:P89))</f>
        <v/>
      </c>
      <c r="U89" s="30"/>
    </row>
    <row r="90" spans="1:21" ht="18" customHeight="1" x14ac:dyDescent="0.2">
      <c r="A90" s="20">
        <v>88</v>
      </c>
      <c r="B90" s="21"/>
      <c r="C90" s="21"/>
      <c r="D90" s="22"/>
      <c r="E90" s="22"/>
      <c r="F90" s="23"/>
      <c r="G90" s="23"/>
      <c r="H90" s="23"/>
      <c r="I90" s="24"/>
      <c r="J90" s="25"/>
      <c r="K90" s="26" t="str">
        <f t="shared" si="12"/>
        <v/>
      </c>
      <c r="L90" s="27" t="str">
        <f t="shared" si="13"/>
        <v/>
      </c>
      <c r="M90" s="28" t="str">
        <f t="shared" si="14"/>
        <v/>
      </c>
      <c r="N90" s="22"/>
      <c r="O90" s="23"/>
      <c r="P90" s="26" t="str">
        <f t="shared" si="15"/>
        <v/>
      </c>
      <c r="Q90" s="29" t="str">
        <f t="shared" si="16"/>
        <v/>
      </c>
      <c r="R90" s="25"/>
      <c r="S90" s="26" t="str">
        <f t="shared" si="17"/>
        <v/>
      </c>
      <c r="T90" s="26" t="str">
        <f>IF(P90="","",SUM(P$3:P90))</f>
        <v/>
      </c>
      <c r="U90" s="30"/>
    </row>
    <row r="91" spans="1:21" ht="18" customHeight="1" x14ac:dyDescent="0.2">
      <c r="A91" s="20">
        <v>89</v>
      </c>
      <c r="B91" s="21"/>
      <c r="C91" s="21"/>
      <c r="D91" s="22"/>
      <c r="E91" s="22"/>
      <c r="F91" s="23"/>
      <c r="G91" s="23"/>
      <c r="H91" s="23"/>
      <c r="I91" s="24"/>
      <c r="J91" s="25"/>
      <c r="K91" s="26" t="str">
        <f t="shared" si="12"/>
        <v/>
      </c>
      <c r="L91" s="27" t="str">
        <f t="shared" si="13"/>
        <v/>
      </c>
      <c r="M91" s="28" t="str">
        <f t="shared" si="14"/>
        <v/>
      </c>
      <c r="N91" s="22"/>
      <c r="O91" s="23"/>
      <c r="P91" s="26" t="str">
        <f t="shared" si="15"/>
        <v/>
      </c>
      <c r="Q91" s="29" t="str">
        <f t="shared" si="16"/>
        <v/>
      </c>
      <c r="R91" s="25"/>
      <c r="S91" s="26" t="str">
        <f t="shared" si="17"/>
        <v/>
      </c>
      <c r="T91" s="26" t="str">
        <f>IF(P91="","",SUM(P$3:P91))</f>
        <v/>
      </c>
      <c r="U91" s="30"/>
    </row>
    <row r="92" spans="1:21" ht="18" customHeight="1" x14ac:dyDescent="0.2">
      <c r="A92" s="20">
        <v>90</v>
      </c>
      <c r="B92" s="21"/>
      <c r="C92" s="21"/>
      <c r="D92" s="22"/>
      <c r="E92" s="22"/>
      <c r="F92" s="23"/>
      <c r="G92" s="23"/>
      <c r="H92" s="23"/>
      <c r="I92" s="24"/>
      <c r="J92" s="25"/>
      <c r="K92" s="26" t="str">
        <f t="shared" si="12"/>
        <v/>
      </c>
      <c r="L92" s="27" t="str">
        <f t="shared" si="13"/>
        <v/>
      </c>
      <c r="M92" s="28" t="str">
        <f t="shared" si="14"/>
        <v/>
      </c>
      <c r="N92" s="22"/>
      <c r="O92" s="23"/>
      <c r="P92" s="26" t="str">
        <f t="shared" si="15"/>
        <v/>
      </c>
      <c r="Q92" s="29" t="str">
        <f t="shared" si="16"/>
        <v/>
      </c>
      <c r="R92" s="25"/>
      <c r="S92" s="26" t="str">
        <f t="shared" si="17"/>
        <v/>
      </c>
      <c r="T92" s="26" t="str">
        <f>IF(P92="","",SUM(P$3:P92))</f>
        <v/>
      </c>
      <c r="U92" s="30"/>
    </row>
    <row r="93" spans="1:21" ht="18" customHeight="1" x14ac:dyDescent="0.2">
      <c r="A93" s="20">
        <v>91</v>
      </c>
      <c r="B93" s="21"/>
      <c r="C93" s="21"/>
      <c r="D93" s="22"/>
      <c r="E93" s="22"/>
      <c r="F93" s="23"/>
      <c r="G93" s="23"/>
      <c r="H93" s="23"/>
      <c r="I93" s="24"/>
      <c r="J93" s="25"/>
      <c r="K93" s="26" t="str">
        <f t="shared" si="12"/>
        <v/>
      </c>
      <c r="L93" s="27" t="str">
        <f t="shared" si="13"/>
        <v/>
      </c>
      <c r="M93" s="28" t="str">
        <f t="shared" si="14"/>
        <v/>
      </c>
      <c r="N93" s="22"/>
      <c r="O93" s="23"/>
      <c r="P93" s="26" t="str">
        <f t="shared" si="15"/>
        <v/>
      </c>
      <c r="Q93" s="29" t="str">
        <f t="shared" si="16"/>
        <v/>
      </c>
      <c r="R93" s="25"/>
      <c r="S93" s="26" t="str">
        <f t="shared" si="17"/>
        <v/>
      </c>
      <c r="T93" s="26" t="str">
        <f>IF(P93="","",SUM(P$3:P93))</f>
        <v/>
      </c>
      <c r="U93" s="30"/>
    </row>
    <row r="94" spans="1:21" ht="18" customHeight="1" x14ac:dyDescent="0.2">
      <c r="A94" s="20">
        <v>92</v>
      </c>
      <c r="B94" s="21"/>
      <c r="C94" s="21"/>
      <c r="D94" s="22"/>
      <c r="E94" s="22"/>
      <c r="F94" s="23"/>
      <c r="G94" s="23"/>
      <c r="H94" s="23"/>
      <c r="I94" s="24"/>
      <c r="J94" s="25"/>
      <c r="K94" s="26" t="str">
        <f t="shared" si="12"/>
        <v/>
      </c>
      <c r="L94" s="27" t="str">
        <f t="shared" si="13"/>
        <v/>
      </c>
      <c r="M94" s="28" t="str">
        <f t="shared" si="14"/>
        <v/>
      </c>
      <c r="N94" s="22"/>
      <c r="O94" s="23"/>
      <c r="P94" s="26" t="str">
        <f t="shared" si="15"/>
        <v/>
      </c>
      <c r="Q94" s="29" t="str">
        <f t="shared" si="16"/>
        <v/>
      </c>
      <c r="R94" s="25"/>
      <c r="S94" s="26" t="str">
        <f t="shared" si="17"/>
        <v/>
      </c>
      <c r="T94" s="26" t="str">
        <f>IF(P94="","",SUM(P$3:P94))</f>
        <v/>
      </c>
      <c r="U94" s="30"/>
    </row>
    <row r="95" spans="1:21" ht="18" customHeight="1" x14ac:dyDescent="0.2">
      <c r="A95" s="20">
        <v>93</v>
      </c>
      <c r="B95" s="21"/>
      <c r="C95" s="21"/>
      <c r="D95" s="22"/>
      <c r="E95" s="22"/>
      <c r="F95" s="23"/>
      <c r="G95" s="23"/>
      <c r="H95" s="23"/>
      <c r="I95" s="24"/>
      <c r="J95" s="25"/>
      <c r="K95" s="26" t="str">
        <f t="shared" si="12"/>
        <v/>
      </c>
      <c r="L95" s="27" t="str">
        <f t="shared" si="13"/>
        <v/>
      </c>
      <c r="M95" s="28" t="str">
        <f t="shared" si="14"/>
        <v/>
      </c>
      <c r="N95" s="22"/>
      <c r="O95" s="23"/>
      <c r="P95" s="26" t="str">
        <f t="shared" si="15"/>
        <v/>
      </c>
      <c r="Q95" s="29" t="str">
        <f t="shared" si="16"/>
        <v/>
      </c>
      <c r="R95" s="25"/>
      <c r="S95" s="26" t="str">
        <f t="shared" si="17"/>
        <v/>
      </c>
      <c r="T95" s="26" t="str">
        <f>IF(P95="","",SUM(P$3:P95))</f>
        <v/>
      </c>
      <c r="U95" s="30"/>
    </row>
    <row r="96" spans="1:21" ht="18" customHeight="1" x14ac:dyDescent="0.2">
      <c r="A96" s="20">
        <v>94</v>
      </c>
      <c r="B96" s="21"/>
      <c r="C96" s="21"/>
      <c r="D96" s="22"/>
      <c r="E96" s="22"/>
      <c r="F96" s="23"/>
      <c r="G96" s="23"/>
      <c r="H96" s="23"/>
      <c r="I96" s="24"/>
      <c r="J96" s="25"/>
      <c r="K96" s="26" t="str">
        <f t="shared" si="12"/>
        <v/>
      </c>
      <c r="L96" s="27" t="str">
        <f t="shared" si="13"/>
        <v/>
      </c>
      <c r="M96" s="28" t="str">
        <f t="shared" si="14"/>
        <v/>
      </c>
      <c r="N96" s="22"/>
      <c r="O96" s="23"/>
      <c r="P96" s="26" t="str">
        <f t="shared" si="15"/>
        <v/>
      </c>
      <c r="Q96" s="29" t="str">
        <f t="shared" si="16"/>
        <v/>
      </c>
      <c r="R96" s="25"/>
      <c r="S96" s="26" t="str">
        <f t="shared" si="17"/>
        <v/>
      </c>
      <c r="T96" s="26" t="str">
        <f>IF(P96="","",SUM(P$3:P96))</f>
        <v/>
      </c>
      <c r="U96" s="30"/>
    </row>
    <row r="97" spans="1:21" ht="18" customHeight="1" x14ac:dyDescent="0.2">
      <c r="A97" s="20">
        <v>95</v>
      </c>
      <c r="B97" s="21"/>
      <c r="C97" s="21"/>
      <c r="D97" s="22"/>
      <c r="E97" s="22"/>
      <c r="F97" s="23"/>
      <c r="G97" s="23"/>
      <c r="H97" s="23"/>
      <c r="I97" s="24"/>
      <c r="J97" s="25"/>
      <c r="K97" s="26" t="str">
        <f t="shared" si="12"/>
        <v/>
      </c>
      <c r="L97" s="27" t="str">
        <f t="shared" si="13"/>
        <v/>
      </c>
      <c r="M97" s="28" t="str">
        <f t="shared" si="14"/>
        <v/>
      </c>
      <c r="N97" s="22"/>
      <c r="O97" s="23"/>
      <c r="P97" s="26" t="str">
        <f t="shared" si="15"/>
        <v/>
      </c>
      <c r="Q97" s="29" t="str">
        <f t="shared" si="16"/>
        <v/>
      </c>
      <c r="R97" s="25"/>
      <c r="S97" s="26" t="str">
        <f t="shared" si="17"/>
        <v/>
      </c>
      <c r="T97" s="26" t="str">
        <f>IF(P97="","",SUM(P$3:P97))</f>
        <v/>
      </c>
      <c r="U97" s="30"/>
    </row>
    <row r="98" spans="1:21" ht="18" customHeight="1" x14ac:dyDescent="0.2">
      <c r="A98" s="20">
        <v>96</v>
      </c>
      <c r="B98" s="21"/>
      <c r="C98" s="21"/>
      <c r="D98" s="22"/>
      <c r="E98" s="22"/>
      <c r="F98" s="23"/>
      <c r="G98" s="23"/>
      <c r="H98" s="23"/>
      <c r="I98" s="24"/>
      <c r="J98" s="25"/>
      <c r="K98" s="26" t="str">
        <f t="shared" si="12"/>
        <v/>
      </c>
      <c r="L98" s="27" t="str">
        <f t="shared" si="13"/>
        <v/>
      </c>
      <c r="M98" s="28" t="str">
        <f t="shared" si="14"/>
        <v/>
      </c>
      <c r="N98" s="22"/>
      <c r="O98" s="23"/>
      <c r="P98" s="26" t="str">
        <f t="shared" si="15"/>
        <v/>
      </c>
      <c r="Q98" s="29" t="str">
        <f t="shared" si="16"/>
        <v/>
      </c>
      <c r="R98" s="25"/>
      <c r="S98" s="26" t="str">
        <f t="shared" si="17"/>
        <v/>
      </c>
      <c r="T98" s="26" t="str">
        <f>IF(P98="","",SUM(P$3:P98))</f>
        <v/>
      </c>
      <c r="U98" s="30"/>
    </row>
    <row r="99" spans="1:21" ht="18" customHeight="1" x14ac:dyDescent="0.2">
      <c r="A99" s="20">
        <v>97</v>
      </c>
      <c r="B99" s="21"/>
      <c r="C99" s="21"/>
      <c r="D99" s="22"/>
      <c r="E99" s="22"/>
      <c r="F99" s="23"/>
      <c r="G99" s="23"/>
      <c r="H99" s="23"/>
      <c r="I99" s="24"/>
      <c r="J99" s="25"/>
      <c r="K99" s="26" t="str">
        <f t="shared" ref="K99:K102" si="18">IF(F99="","",J99/ABS(F99-G99)*F99)</f>
        <v/>
      </c>
      <c r="L99" s="27" t="str">
        <f t="shared" ref="L99:L102" si="19">IF(F99="","",K99/F99)</f>
        <v/>
      </c>
      <c r="M99" s="28" t="str">
        <f t="shared" si="14"/>
        <v/>
      </c>
      <c r="N99" s="22"/>
      <c r="O99" s="23"/>
      <c r="P99" s="26" t="str">
        <f t="shared" ref="P99:P102" si="20">IF(OR(F99="",O99=""),"",IF(E99="Long",(O99-F99)*L99,(F99-O99)*L99))</f>
        <v/>
      </c>
      <c r="Q99" s="29" t="str">
        <f t="shared" ref="Q99:Q102" si="21">IF(OR(J99="",J99=0,P99=""),"",P99/J99)</f>
        <v/>
      </c>
      <c r="R99" s="25"/>
      <c r="S99" s="26" t="str">
        <f t="shared" ref="S99:S102" si="22">IF(OR(R99="",P99=""),"",R99+P99)</f>
        <v/>
      </c>
      <c r="T99" s="26" t="str">
        <f>IF(P99="","",SUM(P$3:P99))</f>
        <v/>
      </c>
      <c r="U99" s="30"/>
    </row>
    <row r="100" spans="1:21" ht="18" customHeight="1" x14ac:dyDescent="0.2">
      <c r="A100" s="20">
        <v>98</v>
      </c>
      <c r="B100" s="21"/>
      <c r="C100" s="21"/>
      <c r="D100" s="22"/>
      <c r="E100" s="22"/>
      <c r="F100" s="23"/>
      <c r="G100" s="23"/>
      <c r="H100" s="23"/>
      <c r="I100" s="24"/>
      <c r="J100" s="25"/>
      <c r="K100" s="26" t="str">
        <f t="shared" si="18"/>
        <v/>
      </c>
      <c r="L100" s="27" t="str">
        <f t="shared" si="19"/>
        <v/>
      </c>
      <c r="M100" s="28" t="str">
        <f t="shared" si="14"/>
        <v/>
      </c>
      <c r="N100" s="22"/>
      <c r="O100" s="23"/>
      <c r="P100" s="26" t="str">
        <f t="shared" si="20"/>
        <v/>
      </c>
      <c r="Q100" s="29" t="str">
        <f t="shared" si="21"/>
        <v/>
      </c>
      <c r="R100" s="25"/>
      <c r="S100" s="26" t="str">
        <f t="shared" si="22"/>
        <v/>
      </c>
      <c r="T100" s="26" t="str">
        <f>IF(P100="","",SUM(P$3:P100))</f>
        <v/>
      </c>
      <c r="U100" s="30"/>
    </row>
    <row r="101" spans="1:21" ht="18" customHeight="1" x14ac:dyDescent="0.2">
      <c r="A101" s="20">
        <v>99</v>
      </c>
      <c r="B101" s="21"/>
      <c r="C101" s="21"/>
      <c r="D101" s="22"/>
      <c r="E101" s="22"/>
      <c r="F101" s="23"/>
      <c r="G101" s="23"/>
      <c r="H101" s="23"/>
      <c r="I101" s="24"/>
      <c r="J101" s="25"/>
      <c r="K101" s="26" t="str">
        <f t="shared" si="18"/>
        <v/>
      </c>
      <c r="L101" s="27" t="str">
        <f t="shared" si="19"/>
        <v/>
      </c>
      <c r="M101" s="28" t="str">
        <f t="shared" si="14"/>
        <v/>
      </c>
      <c r="N101" s="22"/>
      <c r="O101" s="23"/>
      <c r="P101" s="26" t="str">
        <f t="shared" si="20"/>
        <v/>
      </c>
      <c r="Q101" s="29" t="str">
        <f t="shared" si="21"/>
        <v/>
      </c>
      <c r="R101" s="25"/>
      <c r="S101" s="26" t="str">
        <f t="shared" si="22"/>
        <v/>
      </c>
      <c r="T101" s="26" t="str">
        <f>IF(P101="","",SUM(P$3:P101))</f>
        <v/>
      </c>
      <c r="U101" s="30"/>
    </row>
    <row r="102" spans="1:21" ht="18" customHeight="1" x14ac:dyDescent="0.2">
      <c r="A102" s="20">
        <v>100</v>
      </c>
      <c r="B102" s="21"/>
      <c r="C102" s="21"/>
      <c r="D102" s="22"/>
      <c r="E102" s="22"/>
      <c r="F102" s="23"/>
      <c r="G102" s="23"/>
      <c r="H102" s="23"/>
      <c r="I102" s="24"/>
      <c r="J102" s="25"/>
      <c r="K102" s="26" t="str">
        <f t="shared" si="18"/>
        <v/>
      </c>
      <c r="L102" s="27" t="str">
        <f t="shared" si="19"/>
        <v/>
      </c>
      <c r="M102" s="28" t="str">
        <f t="shared" si="14"/>
        <v/>
      </c>
      <c r="N102" s="22"/>
      <c r="O102" s="23"/>
      <c r="P102" s="26" t="str">
        <f t="shared" si="20"/>
        <v/>
      </c>
      <c r="Q102" s="29" t="str">
        <f t="shared" si="21"/>
        <v/>
      </c>
      <c r="R102" s="25"/>
      <c r="S102" s="26" t="str">
        <f t="shared" si="22"/>
        <v/>
      </c>
      <c r="T102" s="26" t="str">
        <f>IF(P102="","",SUM(P$3:P102))</f>
        <v/>
      </c>
      <c r="U102" s="30"/>
    </row>
    <row r="104" spans="1:21" ht="8" customHeight="1" x14ac:dyDescent="0.2"/>
    <row r="105" spans="1:21" x14ac:dyDescent="0.2">
      <c r="A105" s="49" t="s">
        <v>54</v>
      </c>
      <c r="B105" s="43"/>
      <c r="C105" s="43"/>
      <c r="D105" s="43"/>
      <c r="E105" s="43"/>
      <c r="F105" s="44"/>
    </row>
    <row r="106" spans="1:21" ht="20" customHeight="1" x14ac:dyDescent="0.2">
      <c r="A106" s="2" t="s">
        <v>55</v>
      </c>
      <c r="B106" s="31">
        <f>COUNTA(N3:N102)-COUNTIF(N3:N102,"Open")</f>
        <v>1</v>
      </c>
      <c r="C106" s="4"/>
      <c r="D106" s="4"/>
      <c r="E106" s="4"/>
      <c r="F106" s="4"/>
    </row>
    <row r="107" spans="1:21" ht="20" customHeight="1" x14ac:dyDescent="0.2">
      <c r="A107" s="2" t="s">
        <v>56</v>
      </c>
      <c r="B107" s="31">
        <f>COUNTIF(N3:N102,"Win")</f>
        <v>1</v>
      </c>
      <c r="C107" s="4"/>
      <c r="D107" s="4"/>
      <c r="E107" s="4"/>
      <c r="F107" s="4"/>
    </row>
    <row r="108" spans="1:21" ht="20" customHeight="1" x14ac:dyDescent="0.2">
      <c r="A108" s="2" t="s">
        <v>57</v>
      </c>
      <c r="B108" s="31">
        <f>COUNTIF(N3:N102,"Full Stop")</f>
        <v>0</v>
      </c>
      <c r="C108" s="4"/>
      <c r="D108" s="4"/>
      <c r="E108" s="4"/>
      <c r="F108" s="4"/>
    </row>
    <row r="109" spans="1:21" ht="20" customHeight="1" x14ac:dyDescent="0.2">
      <c r="A109" s="2" t="s">
        <v>58</v>
      </c>
      <c r="B109" s="31">
        <f>COUNTIF(N3:N102,"BE Stop")</f>
        <v>0</v>
      </c>
      <c r="C109" s="4"/>
      <c r="D109" s="4"/>
      <c r="E109" s="4"/>
      <c r="F109" s="4"/>
    </row>
    <row r="110" spans="1:21" ht="20" customHeight="1" x14ac:dyDescent="0.2">
      <c r="A110" s="2" t="s">
        <v>59</v>
      </c>
      <c r="B110" s="32">
        <f>IF(B106=0,"",B107/B106)</f>
        <v>1</v>
      </c>
      <c r="C110" s="4"/>
      <c r="D110" s="4"/>
      <c r="E110" s="4"/>
      <c r="F110" s="4"/>
    </row>
    <row r="111" spans="1:21" ht="20" customHeight="1" x14ac:dyDescent="0.2">
      <c r="A111" s="2" t="s">
        <v>60</v>
      </c>
      <c r="B111" s="33">
        <f>IF(COUNTA(Q3:Q102)=0,"",SUMIF(Q3:Q102,"&lt;&gt;",Q3:Q102))</f>
        <v>1.0784313725490251</v>
      </c>
      <c r="C111" s="4"/>
      <c r="D111" s="4"/>
      <c r="E111" s="4"/>
      <c r="F111" s="4"/>
    </row>
    <row r="112" spans="1:21" ht="20" customHeight="1" x14ac:dyDescent="0.2">
      <c r="A112" s="2" t="s">
        <v>61</v>
      </c>
      <c r="B112" s="34">
        <f>IF(B106=0,"",B111/B106)</f>
        <v>1.0784313725490251</v>
      </c>
      <c r="C112" s="4"/>
      <c r="D112" s="4"/>
      <c r="E112" s="4"/>
      <c r="F112" s="4"/>
    </row>
    <row r="113" spans="1:6" ht="20" customHeight="1" x14ac:dyDescent="0.2">
      <c r="A113" s="2" t="s">
        <v>62</v>
      </c>
      <c r="B113" s="33" t="str">
        <f>IF(SUMIF(Q3:Q102,"&lt;0",Q3:Q102)=0,"",SUMIF(Q3:Q102,"&gt;0",Q3:Q102)/ABS(SUMIF(Q3:Q102,"&lt;0",Q3:Q102)))</f>
        <v/>
      </c>
      <c r="C113" s="4"/>
      <c r="D113" s="4"/>
      <c r="E113" s="4"/>
      <c r="F113" s="4"/>
    </row>
    <row r="114" spans="1:6" ht="20" customHeight="1" x14ac:dyDescent="0.2">
      <c r="A114" s="2" t="s">
        <v>63</v>
      </c>
      <c r="B114" s="6">
        <f>IF(COUNTA(P3:P102)=0,"",SUM(P3:P102))</f>
        <v>210.29411764705989</v>
      </c>
      <c r="C114" s="4"/>
      <c r="D114" s="4"/>
      <c r="E114" s="4"/>
      <c r="F114" s="4"/>
    </row>
  </sheetData>
  <mergeCells count="2">
    <mergeCell ref="A1:U1"/>
    <mergeCell ref="A105:F105"/>
  </mergeCells>
  <conditionalFormatting sqref="A3:U102">
    <cfRule type="expression" dxfId="2" priority="1">
      <formula>$N3="Win"</formula>
    </cfRule>
    <cfRule type="expression" dxfId="1" priority="2">
      <formula>$N3="Full Stop"</formula>
    </cfRule>
    <cfRule type="expression" dxfId="0" priority="3">
      <formula>$N3="BE Stop"</formula>
    </cfRule>
  </conditionalFormatting>
  <dataValidations count="2">
    <dataValidation type="list" allowBlank="1" sqref="N3:N202" xr:uid="{00000000-0002-0000-0100-000000000000}">
      <formula1>"Win,Full Stop,BE Stop,Open"</formula1>
    </dataValidation>
    <dataValidation type="list" allowBlank="1" sqref="E3:E202" xr:uid="{00000000-0002-0000-0100-000001000000}">
      <formula1>"Long,Short"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0000"/>
  </sheetPr>
  <dimension ref="B1:C84"/>
  <sheetViews>
    <sheetView topLeftCell="A17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62" customWidth="1"/>
    <col min="4" max="4" width="3" customWidth="1"/>
  </cols>
  <sheetData>
    <row r="1" spans="2:3" ht="28" customHeight="1" x14ac:dyDescent="0.2">
      <c r="B1" s="50" t="s">
        <v>64</v>
      </c>
      <c r="C1" s="44"/>
    </row>
    <row r="2" spans="2:3" ht="6" customHeight="1" x14ac:dyDescent="0.2">
      <c r="B2" s="35"/>
      <c r="C2" s="35"/>
    </row>
    <row r="3" spans="2:3" ht="22" customHeight="1" x14ac:dyDescent="0.2">
      <c r="B3" s="51" t="s">
        <v>65</v>
      </c>
      <c r="C3" s="44"/>
    </row>
    <row r="4" spans="2:3" ht="18" customHeight="1" x14ac:dyDescent="0.2">
      <c r="B4" s="36" t="s">
        <v>66</v>
      </c>
      <c r="C4" s="37" t="s">
        <v>67</v>
      </c>
    </row>
    <row r="5" spans="2:3" ht="18" customHeight="1" x14ac:dyDescent="0.2">
      <c r="B5" s="36" t="s">
        <v>68</v>
      </c>
      <c r="C5" s="37" t="s">
        <v>69</v>
      </c>
    </row>
    <row r="6" spans="2:3" ht="18" customHeight="1" x14ac:dyDescent="0.2">
      <c r="B6" s="36" t="s">
        <v>70</v>
      </c>
      <c r="C6" s="37" t="s">
        <v>71</v>
      </c>
    </row>
    <row r="7" spans="2:3" ht="18" customHeight="1" x14ac:dyDescent="0.2">
      <c r="B7" s="36" t="s">
        <v>72</v>
      </c>
      <c r="C7" s="37" t="s">
        <v>73</v>
      </c>
    </row>
    <row r="8" spans="2:3" ht="18" customHeight="1" x14ac:dyDescent="0.2">
      <c r="B8" s="36" t="s">
        <v>74</v>
      </c>
      <c r="C8" s="37" t="s">
        <v>75</v>
      </c>
    </row>
    <row r="9" spans="2:3" ht="18" customHeight="1" x14ac:dyDescent="0.2">
      <c r="B9" s="36" t="s">
        <v>76</v>
      </c>
      <c r="C9" s="37" t="s">
        <v>77</v>
      </c>
    </row>
    <row r="10" spans="2:3" ht="18" customHeight="1" x14ac:dyDescent="0.2">
      <c r="B10" s="36" t="s">
        <v>27</v>
      </c>
      <c r="C10" s="37" t="s">
        <v>78</v>
      </c>
    </row>
    <row r="11" spans="2:3" ht="6" customHeight="1" x14ac:dyDescent="0.2">
      <c r="B11" s="35"/>
      <c r="C11" s="35"/>
    </row>
    <row r="12" spans="2:3" ht="22" customHeight="1" x14ac:dyDescent="0.2">
      <c r="B12" s="51" t="s">
        <v>79</v>
      </c>
      <c r="C12" s="44"/>
    </row>
    <row r="13" spans="2:3" ht="18" customHeight="1" x14ac:dyDescent="0.2">
      <c r="B13" s="36" t="s">
        <v>80</v>
      </c>
      <c r="C13" s="37" t="s">
        <v>81</v>
      </c>
    </row>
    <row r="14" spans="2:3" ht="18" customHeight="1" x14ac:dyDescent="0.2">
      <c r="B14" s="36" t="s">
        <v>82</v>
      </c>
      <c r="C14" s="37" t="s">
        <v>83</v>
      </c>
    </row>
    <row r="15" spans="2:3" ht="18" customHeight="1" x14ac:dyDescent="0.2">
      <c r="B15" s="36" t="s">
        <v>84</v>
      </c>
      <c r="C15" s="37" t="s">
        <v>85</v>
      </c>
    </row>
    <row r="16" spans="2:3" ht="18" customHeight="1" x14ac:dyDescent="0.2">
      <c r="B16" s="36" t="s">
        <v>86</v>
      </c>
      <c r="C16" s="37" t="s">
        <v>87</v>
      </c>
    </row>
    <row r="17" spans="2:3" ht="20" customHeight="1" x14ac:dyDescent="0.2">
      <c r="B17" s="52" t="s">
        <v>88</v>
      </c>
      <c r="C17" s="44"/>
    </row>
    <row r="18" spans="2:3" ht="6" customHeight="1" x14ac:dyDescent="0.2">
      <c r="B18" s="35"/>
      <c r="C18" s="35"/>
    </row>
    <row r="19" spans="2:3" ht="22" customHeight="1" x14ac:dyDescent="0.2">
      <c r="B19" s="51" t="s">
        <v>89</v>
      </c>
      <c r="C19" s="44"/>
    </row>
    <row r="20" spans="2:3" ht="18" customHeight="1" x14ac:dyDescent="0.2">
      <c r="B20" s="36" t="s">
        <v>90</v>
      </c>
      <c r="C20" s="37" t="s">
        <v>91</v>
      </c>
    </row>
    <row r="21" spans="2:3" ht="18" customHeight="1" x14ac:dyDescent="0.2">
      <c r="B21" s="36" t="s">
        <v>92</v>
      </c>
      <c r="C21" s="37" t="s">
        <v>93</v>
      </c>
    </row>
    <row r="22" spans="2:3" ht="18" customHeight="1" x14ac:dyDescent="0.2">
      <c r="B22" s="36" t="s">
        <v>94</v>
      </c>
      <c r="C22" s="37" t="s">
        <v>95</v>
      </c>
    </row>
    <row r="23" spans="2:3" ht="18" customHeight="1" x14ac:dyDescent="0.2">
      <c r="B23" s="36" t="s">
        <v>96</v>
      </c>
      <c r="C23" s="37" t="s">
        <v>97</v>
      </c>
    </row>
    <row r="24" spans="2:3" ht="18" customHeight="1" x14ac:dyDescent="0.2">
      <c r="B24" s="36" t="s">
        <v>98</v>
      </c>
      <c r="C24" s="37" t="s">
        <v>99</v>
      </c>
    </row>
    <row r="25" spans="2:3" ht="20" customHeight="1" x14ac:dyDescent="0.2">
      <c r="B25" s="52" t="s">
        <v>100</v>
      </c>
      <c r="C25" s="44"/>
    </row>
    <row r="26" spans="2:3" ht="6" customHeight="1" x14ac:dyDescent="0.2">
      <c r="B26" s="35"/>
      <c r="C26" s="35"/>
    </row>
    <row r="27" spans="2:3" ht="22" customHeight="1" x14ac:dyDescent="0.2">
      <c r="B27" s="51" t="s">
        <v>101</v>
      </c>
      <c r="C27" s="44"/>
    </row>
    <row r="28" spans="2:3" ht="18" customHeight="1" x14ac:dyDescent="0.2">
      <c r="B28" s="36" t="s">
        <v>102</v>
      </c>
      <c r="C28" s="37" t="s">
        <v>103</v>
      </c>
    </row>
    <row r="29" spans="2:3" ht="18" customHeight="1" x14ac:dyDescent="0.2">
      <c r="B29" s="36" t="s">
        <v>104</v>
      </c>
      <c r="C29" s="37" t="s">
        <v>105</v>
      </c>
    </row>
    <row r="30" spans="2:3" ht="18" customHeight="1" x14ac:dyDescent="0.2">
      <c r="B30" s="36" t="s">
        <v>106</v>
      </c>
      <c r="C30" s="37" t="s">
        <v>107</v>
      </c>
    </row>
    <row r="31" spans="2:3" ht="18" customHeight="1" x14ac:dyDescent="0.2">
      <c r="B31" s="36" t="s">
        <v>108</v>
      </c>
      <c r="C31" s="37" t="s">
        <v>109</v>
      </c>
    </row>
    <row r="32" spans="2:3" ht="18" customHeight="1" x14ac:dyDescent="0.2">
      <c r="B32" s="36" t="s">
        <v>110</v>
      </c>
      <c r="C32" s="37" t="s">
        <v>111</v>
      </c>
    </row>
    <row r="33" spans="2:3" ht="18" customHeight="1" x14ac:dyDescent="0.2">
      <c r="B33" s="36" t="s">
        <v>112</v>
      </c>
      <c r="C33" s="37" t="s">
        <v>113</v>
      </c>
    </row>
    <row r="34" spans="2:3" ht="20" customHeight="1" x14ac:dyDescent="0.2">
      <c r="B34" s="52" t="s">
        <v>114</v>
      </c>
      <c r="C34" s="44"/>
    </row>
    <row r="35" spans="2:3" ht="6" customHeight="1" x14ac:dyDescent="0.2">
      <c r="B35" s="35"/>
      <c r="C35" s="35"/>
    </row>
    <row r="36" spans="2:3" ht="22" customHeight="1" x14ac:dyDescent="0.2">
      <c r="B36" s="51" t="s">
        <v>115</v>
      </c>
      <c r="C36" s="44"/>
    </row>
    <row r="37" spans="2:3" ht="18" customHeight="1" x14ac:dyDescent="0.2">
      <c r="B37" s="36" t="s">
        <v>116</v>
      </c>
      <c r="C37" s="37" t="s">
        <v>117</v>
      </c>
    </row>
    <row r="38" spans="2:3" ht="18" customHeight="1" x14ac:dyDescent="0.2">
      <c r="B38" s="36" t="s">
        <v>118</v>
      </c>
      <c r="C38" s="37" t="s">
        <v>119</v>
      </c>
    </row>
    <row r="39" spans="2:3" ht="18" customHeight="1" x14ac:dyDescent="0.2">
      <c r="B39" s="36" t="s">
        <v>120</v>
      </c>
      <c r="C39" s="37" t="s">
        <v>121</v>
      </c>
    </row>
    <row r="40" spans="2:3" ht="18" customHeight="1" x14ac:dyDescent="0.2">
      <c r="B40" s="36" t="s">
        <v>122</v>
      </c>
      <c r="C40" s="37" t="s">
        <v>123</v>
      </c>
    </row>
    <row r="41" spans="2:3" ht="18" customHeight="1" x14ac:dyDescent="0.2">
      <c r="B41" s="36" t="s">
        <v>124</v>
      </c>
      <c r="C41" s="37" t="s">
        <v>125</v>
      </c>
    </row>
    <row r="42" spans="2:3" ht="18" customHeight="1" x14ac:dyDescent="0.2">
      <c r="B42" s="36" t="s">
        <v>126</v>
      </c>
      <c r="C42" s="37" t="s">
        <v>127</v>
      </c>
    </row>
    <row r="43" spans="2:3" ht="20" customHeight="1" x14ac:dyDescent="0.2">
      <c r="B43" s="52" t="s">
        <v>128</v>
      </c>
      <c r="C43" s="44"/>
    </row>
    <row r="44" spans="2:3" ht="6" customHeight="1" x14ac:dyDescent="0.2">
      <c r="B44" s="35"/>
      <c r="C44" s="35"/>
    </row>
    <row r="45" spans="2:3" ht="22" customHeight="1" x14ac:dyDescent="0.2">
      <c r="B45" s="51" t="s">
        <v>129</v>
      </c>
      <c r="C45" s="44"/>
    </row>
    <row r="46" spans="2:3" ht="18" customHeight="1" x14ac:dyDescent="0.2">
      <c r="B46" s="36" t="s">
        <v>130</v>
      </c>
      <c r="C46" s="38" t="s">
        <v>131</v>
      </c>
    </row>
    <row r="47" spans="2:3" ht="18" customHeight="1" x14ac:dyDescent="0.2">
      <c r="B47" s="36" t="s">
        <v>132</v>
      </c>
      <c r="C47" s="38" t="s">
        <v>133</v>
      </c>
    </row>
    <row r="48" spans="2:3" ht="18" customHeight="1" x14ac:dyDescent="0.2">
      <c r="B48" s="36" t="s">
        <v>134</v>
      </c>
      <c r="C48" s="39" t="s">
        <v>135</v>
      </c>
    </row>
    <row r="49" spans="2:3" ht="18" customHeight="1" x14ac:dyDescent="0.2">
      <c r="B49" s="36" t="s">
        <v>136</v>
      </c>
      <c r="C49" s="37" t="s">
        <v>137</v>
      </c>
    </row>
    <row r="50" spans="2:3" ht="18" customHeight="1" x14ac:dyDescent="0.2">
      <c r="B50" s="36" t="s">
        <v>138</v>
      </c>
      <c r="C50" s="37" t="s">
        <v>139</v>
      </c>
    </row>
    <row r="51" spans="2:3" ht="20" customHeight="1" x14ac:dyDescent="0.2">
      <c r="B51" s="52" t="s">
        <v>140</v>
      </c>
      <c r="C51" s="44"/>
    </row>
    <row r="52" spans="2:3" ht="6" customHeight="1" x14ac:dyDescent="0.2">
      <c r="B52" s="35"/>
      <c r="C52" s="35"/>
    </row>
    <row r="53" spans="2:3" ht="22" customHeight="1" x14ac:dyDescent="0.2">
      <c r="B53" s="51" t="s">
        <v>141</v>
      </c>
      <c r="C53" s="44"/>
    </row>
    <row r="54" spans="2:3" ht="18" customHeight="1" x14ac:dyDescent="0.2">
      <c r="B54" s="36" t="s">
        <v>142</v>
      </c>
      <c r="C54" s="37" t="s">
        <v>143</v>
      </c>
    </row>
    <row r="55" spans="2:3" ht="18" customHeight="1" x14ac:dyDescent="0.2">
      <c r="B55" s="36" t="s">
        <v>106</v>
      </c>
      <c r="C55" s="37" t="s">
        <v>144</v>
      </c>
    </row>
    <row r="56" spans="2:3" ht="18" customHeight="1" x14ac:dyDescent="0.2">
      <c r="B56" s="36" t="s">
        <v>145</v>
      </c>
      <c r="C56" s="37" t="s">
        <v>146</v>
      </c>
    </row>
    <row r="57" spans="2:3" ht="18" customHeight="1" x14ac:dyDescent="0.2">
      <c r="B57" s="36" t="s">
        <v>147</v>
      </c>
      <c r="C57" s="37" t="s">
        <v>148</v>
      </c>
    </row>
    <row r="58" spans="2:3" ht="6" customHeight="1" x14ac:dyDescent="0.2">
      <c r="B58" s="35"/>
      <c r="C58" s="35"/>
    </row>
    <row r="59" spans="2:3" ht="22" customHeight="1" x14ac:dyDescent="0.2">
      <c r="B59" s="51" t="s">
        <v>149</v>
      </c>
      <c r="C59" s="44"/>
    </row>
    <row r="60" spans="2:3" ht="18" customHeight="1" x14ac:dyDescent="0.2">
      <c r="B60" s="36" t="s">
        <v>150</v>
      </c>
      <c r="C60" s="37" t="s">
        <v>151</v>
      </c>
    </row>
    <row r="61" spans="2:3" ht="18" customHeight="1" x14ac:dyDescent="0.2">
      <c r="B61" s="36" t="s">
        <v>152</v>
      </c>
      <c r="C61" s="37" t="s">
        <v>153</v>
      </c>
    </row>
    <row r="62" spans="2:3" ht="18" customHeight="1" x14ac:dyDescent="0.2">
      <c r="B62" s="36" t="s">
        <v>154</v>
      </c>
      <c r="C62" s="37" t="s">
        <v>155</v>
      </c>
    </row>
    <row r="63" spans="2:3" ht="18" customHeight="1" x14ac:dyDescent="0.2">
      <c r="B63" s="36" t="s">
        <v>156</v>
      </c>
      <c r="C63" s="37" t="s">
        <v>157</v>
      </c>
    </row>
    <row r="64" spans="2:3" ht="18" customHeight="1" x14ac:dyDescent="0.2">
      <c r="B64" s="36" t="s">
        <v>158</v>
      </c>
      <c r="C64" s="37" t="s">
        <v>159</v>
      </c>
    </row>
    <row r="65" spans="2:3" ht="18" customHeight="1" x14ac:dyDescent="0.2">
      <c r="B65" s="36" t="s">
        <v>160</v>
      </c>
      <c r="C65" s="37" t="s">
        <v>161</v>
      </c>
    </row>
    <row r="66" spans="2:3" ht="20" customHeight="1" x14ac:dyDescent="0.2">
      <c r="B66" s="52" t="s">
        <v>162</v>
      </c>
      <c r="C66" s="44"/>
    </row>
    <row r="67" spans="2:3" ht="6" customHeight="1" x14ac:dyDescent="0.2">
      <c r="B67" s="35"/>
      <c r="C67" s="35"/>
    </row>
    <row r="68" spans="2:3" ht="22" customHeight="1" x14ac:dyDescent="0.2">
      <c r="B68" s="51" t="s">
        <v>163</v>
      </c>
      <c r="C68" s="44"/>
    </row>
    <row r="69" spans="2:3" ht="18" customHeight="1" x14ac:dyDescent="0.2">
      <c r="B69" s="36" t="s">
        <v>27</v>
      </c>
      <c r="C69" s="37" t="s">
        <v>164</v>
      </c>
    </row>
    <row r="70" spans="2:3" ht="18" customHeight="1" x14ac:dyDescent="0.2">
      <c r="B70" s="36" t="s">
        <v>165</v>
      </c>
      <c r="C70" s="37" t="s">
        <v>166</v>
      </c>
    </row>
    <row r="71" spans="2:3" ht="18" customHeight="1" x14ac:dyDescent="0.2">
      <c r="B71" s="36" t="s">
        <v>167</v>
      </c>
      <c r="C71" s="37" t="s">
        <v>168</v>
      </c>
    </row>
    <row r="72" spans="2:3" ht="18" customHeight="1" x14ac:dyDescent="0.2">
      <c r="B72" s="36" t="s">
        <v>169</v>
      </c>
      <c r="C72" s="37" t="s">
        <v>170</v>
      </c>
    </row>
    <row r="73" spans="2:3" ht="18" customHeight="1" x14ac:dyDescent="0.2">
      <c r="B73" s="36" t="s">
        <v>171</v>
      </c>
      <c r="C73" s="37" t="s">
        <v>172</v>
      </c>
    </row>
    <row r="74" spans="2:3" ht="18" customHeight="1" x14ac:dyDescent="0.2">
      <c r="B74" s="36" t="s">
        <v>173</v>
      </c>
      <c r="C74" s="37" t="s">
        <v>174</v>
      </c>
    </row>
    <row r="75" spans="2:3" ht="20" customHeight="1" x14ac:dyDescent="0.2">
      <c r="B75" s="52" t="s">
        <v>175</v>
      </c>
      <c r="C75" s="44"/>
    </row>
    <row r="76" spans="2:3" ht="6" customHeight="1" x14ac:dyDescent="0.2">
      <c r="B76" s="35"/>
      <c r="C76" s="35"/>
    </row>
    <row r="77" spans="2:3" ht="22" customHeight="1" x14ac:dyDescent="0.2">
      <c r="B77" s="53" t="s">
        <v>176</v>
      </c>
      <c r="C77" s="44"/>
    </row>
    <row r="78" spans="2:3" ht="18" customHeight="1" x14ac:dyDescent="0.2">
      <c r="B78" s="36" t="s">
        <v>177</v>
      </c>
      <c r="C78" s="38" t="s">
        <v>178</v>
      </c>
    </row>
    <row r="79" spans="2:3" ht="18" customHeight="1" x14ac:dyDescent="0.2">
      <c r="B79" s="36" t="s">
        <v>179</v>
      </c>
      <c r="C79" s="38" t="s">
        <v>180</v>
      </c>
    </row>
    <row r="80" spans="2:3" ht="18" customHeight="1" x14ac:dyDescent="0.2">
      <c r="B80" s="36" t="s">
        <v>181</v>
      </c>
      <c r="C80" s="38" t="s">
        <v>182</v>
      </c>
    </row>
    <row r="81" spans="2:3" ht="18" customHeight="1" x14ac:dyDescent="0.2">
      <c r="B81" s="36" t="s">
        <v>183</v>
      </c>
      <c r="C81" s="38" t="s">
        <v>184</v>
      </c>
    </row>
    <row r="82" spans="2:3" ht="18" customHeight="1" x14ac:dyDescent="0.2">
      <c r="B82" s="36" t="s">
        <v>185</v>
      </c>
      <c r="C82" s="38" t="s">
        <v>186</v>
      </c>
    </row>
    <row r="83" spans="2:3" ht="18" customHeight="1" x14ac:dyDescent="0.2">
      <c r="B83" s="36" t="s">
        <v>187</v>
      </c>
      <c r="C83" s="38" t="s">
        <v>188</v>
      </c>
    </row>
    <row r="84" spans="2:3" ht="18" customHeight="1" x14ac:dyDescent="0.2">
      <c r="B84" s="36" t="s">
        <v>189</v>
      </c>
      <c r="C84" s="38" t="s">
        <v>190</v>
      </c>
    </row>
  </sheetData>
  <mergeCells count="18">
    <mergeCell ref="B17:C17"/>
    <mergeCell ref="B27:C27"/>
    <mergeCell ref="B1:C1"/>
    <mergeCell ref="B53:C53"/>
    <mergeCell ref="B43:C43"/>
    <mergeCell ref="B12:C12"/>
    <mergeCell ref="B77:C77"/>
    <mergeCell ref="B68:C68"/>
    <mergeCell ref="B25:C25"/>
    <mergeCell ref="B3:C3"/>
    <mergeCell ref="B19:C19"/>
    <mergeCell ref="B34:C34"/>
    <mergeCell ref="B51:C51"/>
    <mergeCell ref="B59:C59"/>
    <mergeCell ref="B45:C45"/>
    <mergeCell ref="B36:C36"/>
    <mergeCell ref="B66:C66"/>
    <mergeCell ref="B75:C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Journal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Graeme Buchanan</cp:lastModifiedBy>
  <dcterms:created xsi:type="dcterms:W3CDTF">2026-05-06T11:41:46Z</dcterms:created>
  <dcterms:modified xsi:type="dcterms:W3CDTF">2026-05-09T17:39:18Z</dcterms:modified>
</cp:coreProperties>
</file>